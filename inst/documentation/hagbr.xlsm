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fz751\Desktop\git.private\gas\"/>
    </mc:Choice>
  </mc:AlternateContent>
  <bookViews>
    <workbookView xWindow="0" yWindow="0" windowWidth="19275" windowHeight="10965"/>
  </bookViews>
  <sheets>
    <sheet name="Sheet1" sheetId="1" r:id="rId1"/>
  </sheets>
  <definedNames>
    <definedName name="a.0">Sheet1!$N$2</definedName>
    <definedName name="a.1">Sheet1!$N$3</definedName>
    <definedName name="a.10">Sheet1!$N$12</definedName>
    <definedName name="a.11">Sheet1!$N$13</definedName>
    <definedName name="a.12">Sheet1!$N$14</definedName>
    <definedName name="a.13">Sheet1!$N$15</definedName>
    <definedName name="a.14">Sheet1!$N$16</definedName>
    <definedName name="a.15">Sheet1!$N$17</definedName>
    <definedName name="a.2">Sheet1!$N$4</definedName>
    <definedName name="a.3">Sheet1!$N$5</definedName>
    <definedName name="a.4">Sheet1!$N$6</definedName>
    <definedName name="a.5">Sheet1!$N$7</definedName>
    <definedName name="a.6">Sheet1!$N$8</definedName>
    <definedName name="a.7">Sheet1!$N$9</definedName>
    <definedName name="a.8">Sheet1!$N$10</definedName>
    <definedName name="a.9">Sheet1!$N$11</definedName>
    <definedName name="a0">Sheet1!$N$2</definedName>
    <definedName name="a1_">Sheet1!$N$3</definedName>
    <definedName name="a10_">Sheet1!$N$12</definedName>
    <definedName name="a11_">Sheet1!$N$13</definedName>
    <definedName name="a12_">Sheet1!$N$14</definedName>
    <definedName name="a13_">Sheet1!$N$15</definedName>
    <definedName name="a14_">Sheet1!$N$16</definedName>
    <definedName name="a15_">Sheet1!$N$17</definedName>
    <definedName name="a2_">Sheet1!$N$4</definedName>
    <definedName name="a3_">Sheet1!$N$5</definedName>
    <definedName name="a4_">Sheet1!$N$6</definedName>
    <definedName name="a5_">Sheet1!$N$7</definedName>
    <definedName name="a6_">Sheet1!$N$8</definedName>
    <definedName name="a7_">Sheet1!$N$9</definedName>
    <definedName name="a8_">Sheet1!$N$10</definedName>
    <definedName name="a9_">Sheet1!$N$11</definedName>
    <definedName name="API">Sheet1!$B$4</definedName>
    <definedName name="area">Sheet1!$E$7</definedName>
    <definedName name="bht">Sheet1!$B$10</definedName>
    <definedName name="co2.frac">Sheet1!$E$3</definedName>
    <definedName name="depth">Sheet1!$B$2</definedName>
    <definedName name="diam.ft">Sheet1!$E$6</definedName>
    <definedName name="diam.in">Sheet1!$B$3</definedName>
    <definedName name="ed">Sheet1!$K$5</definedName>
    <definedName name="gas.rt">Sheet1!$E$12</definedName>
    <definedName name="gas.sg">Sheet1!$B$7</definedName>
    <definedName name="GLR">Sheet1!$B$6</definedName>
    <definedName name="h2s.frac">Sheet1!$E$4</definedName>
    <definedName name="if.tens">Sheet1!$B$13</definedName>
    <definedName name="liq.rt">Sheet1!$B$11</definedName>
    <definedName name="liq.sg">Sheet1!$E$13</definedName>
    <definedName name="liq.visc">Sheet1!$E$14</definedName>
    <definedName name="mass.rt">Sheet1!$E$15</definedName>
    <definedName name="n2.frac">Sheet1!$E$2</definedName>
    <definedName name="oil.rt">Sheet1!$E$10</definedName>
    <definedName name="oil.sg">Sheet1!$E$8</definedName>
    <definedName name="oil.visc">Sheet1!$B$5</definedName>
    <definedName name="pi">Sheet1!$K$2</definedName>
    <definedName name="pres.atm">Sheet1!$K$4</definedName>
    <definedName name="pres.pc">Sheet1!$H$4</definedName>
    <definedName name="pres.pc.0">Sheet1!$H$2</definedName>
    <definedName name="segments">Sheet1!$B$15</definedName>
    <definedName name="temp.pc">Sheet1!$H$5</definedName>
    <definedName name="temp.pc.0">Sheet1!$H$3</definedName>
    <definedName name="thp">Sheet1!$B$8</definedName>
    <definedName name="tht">Sheet1!$B$9</definedName>
    <definedName name="vs">Sheet1!$K$3</definedName>
    <definedName name="vsl">Sheet1!$E$9</definedName>
    <definedName name="wat.rt">Sheet1!$E$11</definedName>
    <definedName name="wat.sg">Sheet1!$B$14</definedName>
    <definedName name="wcut">Sheet1!$B$12</definedName>
  </definedNames>
  <calcPr calcId="171027"/>
</workbook>
</file>

<file path=xl/calcChain.xml><?xml version="1.0" encoding="utf-8"?>
<calcChain xmlns="http://schemas.openxmlformats.org/spreadsheetml/2006/main">
  <c r="E16" i="1" l="1"/>
  <c r="E6" i="1"/>
  <c r="AA20" i="1" l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C20" i="1" l="1"/>
  <c r="F20" i="1" s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H20" i="1" l="1"/>
  <c r="G20" i="1"/>
  <c r="T20" i="1" s="1"/>
  <c r="D20" i="1"/>
  <c r="E20" i="1"/>
  <c r="E11" i="1"/>
  <c r="E10" i="1"/>
  <c r="E12" i="1"/>
  <c r="K2" i="1"/>
  <c r="E8" i="1"/>
  <c r="H5" i="1"/>
  <c r="H4" i="1"/>
  <c r="H3" i="1"/>
  <c r="H2" i="1"/>
  <c r="B15" i="1"/>
  <c r="E13" i="1"/>
  <c r="Y49" i="1"/>
  <c r="E7" i="1"/>
  <c r="E9" i="1"/>
  <c r="W38" i="1" s="1"/>
  <c r="E14" i="1"/>
  <c r="Z26" i="1"/>
  <c r="Z34" i="1"/>
  <c r="Z42" i="1"/>
  <c r="Z41" i="1"/>
  <c r="Z27" i="1"/>
  <c r="Z35" i="1"/>
  <c r="Z43" i="1"/>
  <c r="Z25" i="1"/>
  <c r="Z49" i="1"/>
  <c r="Z20" i="1"/>
  <c r="Z28" i="1"/>
  <c r="Z36" i="1"/>
  <c r="Z44" i="1"/>
  <c r="Z33" i="1"/>
  <c r="Z21" i="1"/>
  <c r="Z29" i="1"/>
  <c r="Z37" i="1"/>
  <c r="Z45" i="1"/>
  <c r="Z22" i="1"/>
  <c r="Z30" i="1"/>
  <c r="Z38" i="1"/>
  <c r="Z46" i="1"/>
  <c r="Z23" i="1"/>
  <c r="Z31" i="1"/>
  <c r="Z39" i="1"/>
  <c r="Z47" i="1"/>
  <c r="Z24" i="1"/>
  <c r="Z32" i="1"/>
  <c r="Z40" i="1"/>
  <c r="Z48" i="1"/>
  <c r="Y29" i="1"/>
  <c r="Y31" i="1"/>
  <c r="Y33" i="1"/>
  <c r="Y23" i="1"/>
  <c r="Y41" i="1"/>
  <c r="W22" i="1"/>
  <c r="W46" i="1"/>
  <c r="W23" i="1"/>
  <c r="W31" i="1"/>
  <c r="W39" i="1"/>
  <c r="W47" i="1"/>
  <c r="W37" i="1"/>
  <c r="W40" i="1"/>
  <c r="W48" i="1"/>
  <c r="W25" i="1"/>
  <c r="W33" i="1"/>
  <c r="W41" i="1"/>
  <c r="W49" i="1"/>
  <c r="W29" i="1"/>
  <c r="W26" i="1"/>
  <c r="W34" i="1"/>
  <c r="W42" i="1"/>
  <c r="W45" i="1"/>
  <c r="W27" i="1"/>
  <c r="W35" i="1"/>
  <c r="W43" i="1"/>
  <c r="W20" i="1"/>
  <c r="W28" i="1"/>
  <c r="W36" i="1"/>
  <c r="W44" i="1"/>
  <c r="W21" i="1"/>
  <c r="Y47" i="1"/>
  <c r="E15" i="1"/>
  <c r="Y43" i="1"/>
  <c r="Y27" i="1"/>
  <c r="Y35" i="1"/>
  <c r="Y22" i="1"/>
  <c r="Y24" i="1"/>
  <c r="Y26" i="1"/>
  <c r="Y21" i="1"/>
  <c r="Y25" i="1"/>
  <c r="Y37" i="1"/>
  <c r="Y45" i="1"/>
  <c r="Y28" i="1"/>
  <c r="Y30" i="1"/>
  <c r="Y32" i="1"/>
  <c r="Y34" i="1"/>
  <c r="Y39" i="1"/>
  <c r="Y36" i="1"/>
  <c r="Y38" i="1"/>
  <c r="Y40" i="1"/>
  <c r="Y42" i="1"/>
  <c r="Y44" i="1"/>
  <c r="Y46" i="1"/>
  <c r="Y48" i="1"/>
  <c r="Y20" i="1"/>
  <c r="W24" i="1" l="1"/>
  <c r="W30" i="1"/>
  <c r="W32" i="1"/>
  <c r="I20" i="1"/>
  <c r="U20" i="1" s="1"/>
  <c r="D21" i="1"/>
  <c r="V20" i="1" l="1"/>
  <c r="J20" i="1"/>
  <c r="M20" i="1" s="1"/>
  <c r="G21" i="1"/>
  <c r="T21" i="1" s="1"/>
  <c r="E21" i="1"/>
  <c r="D22" i="1"/>
  <c r="G22" i="1" s="1"/>
  <c r="T22" i="1" s="1"/>
  <c r="L20" i="1" l="1"/>
  <c r="N20" i="1"/>
  <c r="K20" i="1"/>
  <c r="Q20" i="1" s="1"/>
  <c r="AL20" i="1" s="1"/>
  <c r="I22" i="1"/>
  <c r="I21" i="1"/>
  <c r="E22" i="1"/>
  <c r="D23" i="1"/>
  <c r="G23" i="1" s="1"/>
  <c r="T23" i="1" s="1"/>
  <c r="R20" i="1" l="1"/>
  <c r="S20" i="1" s="1"/>
  <c r="P20" i="1"/>
  <c r="J22" i="1"/>
  <c r="L22" i="1" s="1"/>
  <c r="I23" i="1"/>
  <c r="J21" i="1"/>
  <c r="D24" i="1"/>
  <c r="G24" i="1" s="1"/>
  <c r="T24" i="1" s="1"/>
  <c r="E23" i="1"/>
  <c r="X20" i="1" l="1"/>
  <c r="AD20" i="1" s="1"/>
  <c r="M22" i="1"/>
  <c r="N22" i="1"/>
  <c r="K22" i="1"/>
  <c r="J23" i="1"/>
  <c r="L23" i="1" s="1"/>
  <c r="I24" i="1"/>
  <c r="M21" i="1"/>
  <c r="N21" i="1"/>
  <c r="K21" i="1"/>
  <c r="L21" i="1"/>
  <c r="E24" i="1"/>
  <c r="D25" i="1"/>
  <c r="G25" i="1" s="1"/>
  <c r="T25" i="1" s="1"/>
  <c r="AB20" i="1" l="1"/>
  <c r="AC20" i="1" s="1"/>
  <c r="AE20" i="1"/>
  <c r="N23" i="1"/>
  <c r="M23" i="1"/>
  <c r="K23" i="1"/>
  <c r="J24" i="1"/>
  <c r="M24" i="1" s="1"/>
  <c r="I25" i="1"/>
  <c r="E25" i="1"/>
  <c r="D26" i="1"/>
  <c r="G26" i="1" s="1"/>
  <c r="T26" i="1" s="1"/>
  <c r="AF20" i="1" l="1"/>
  <c r="L24" i="1"/>
  <c r="N24" i="1"/>
  <c r="K24" i="1"/>
  <c r="J25" i="1"/>
  <c r="L25" i="1" s="1"/>
  <c r="I26" i="1"/>
  <c r="E26" i="1"/>
  <c r="D27" i="1"/>
  <c r="G27" i="1" s="1"/>
  <c r="T27" i="1" s="1"/>
  <c r="AG20" i="1" l="1"/>
  <c r="K25" i="1"/>
  <c r="M25" i="1"/>
  <c r="N25" i="1"/>
  <c r="J26" i="1"/>
  <c r="L26" i="1" s="1"/>
  <c r="I27" i="1"/>
  <c r="E27" i="1"/>
  <c r="D28" i="1"/>
  <c r="G28" i="1" s="1"/>
  <c r="T28" i="1" s="1"/>
  <c r="AH20" i="1" l="1"/>
  <c r="J27" i="1"/>
  <c r="M27" i="1" s="1"/>
  <c r="N26" i="1"/>
  <c r="M26" i="1"/>
  <c r="K26" i="1"/>
  <c r="I28" i="1"/>
  <c r="E28" i="1"/>
  <c r="D29" i="1"/>
  <c r="G29" i="1" s="1"/>
  <c r="T29" i="1" s="1"/>
  <c r="AM20" i="1" l="1"/>
  <c r="AN20" i="1"/>
  <c r="AI20" i="1"/>
  <c r="AJ20" i="1" s="1"/>
  <c r="K27" i="1"/>
  <c r="L27" i="1"/>
  <c r="N27" i="1"/>
  <c r="J28" i="1"/>
  <c r="M28" i="1" s="1"/>
  <c r="I29" i="1"/>
  <c r="E29" i="1"/>
  <c r="D30" i="1"/>
  <c r="G30" i="1" s="1"/>
  <c r="T30" i="1" s="1"/>
  <c r="AO20" i="1" l="1"/>
  <c r="AP20" i="1" s="1"/>
  <c r="J29" i="1"/>
  <c r="M29" i="1" s="1"/>
  <c r="K28" i="1"/>
  <c r="N28" i="1"/>
  <c r="L28" i="1"/>
  <c r="I30" i="1"/>
  <c r="E30" i="1"/>
  <c r="D31" i="1"/>
  <c r="G31" i="1" s="1"/>
  <c r="T31" i="1" s="1"/>
  <c r="AK20" i="1" l="1"/>
  <c r="AQ20" i="1" s="1"/>
  <c r="J30" i="1"/>
  <c r="M30" i="1" s="1"/>
  <c r="K29" i="1"/>
  <c r="L29" i="1"/>
  <c r="N29" i="1"/>
  <c r="I31" i="1"/>
  <c r="E31" i="1"/>
  <c r="D32" i="1"/>
  <c r="G32" i="1" s="1"/>
  <c r="T32" i="1" s="1"/>
  <c r="K30" i="1" l="1"/>
  <c r="L30" i="1"/>
  <c r="J31" i="1"/>
  <c r="M31" i="1" s="1"/>
  <c r="N30" i="1"/>
  <c r="I32" i="1"/>
  <c r="E32" i="1"/>
  <c r="D33" i="1"/>
  <c r="G33" i="1" s="1"/>
  <c r="T33" i="1" s="1"/>
  <c r="AR20" i="1" l="1"/>
  <c r="F21" i="1" s="1"/>
  <c r="N31" i="1"/>
  <c r="J32" i="1"/>
  <c r="M32" i="1" s="1"/>
  <c r="L31" i="1"/>
  <c r="K31" i="1"/>
  <c r="I33" i="1"/>
  <c r="E33" i="1"/>
  <c r="D34" i="1"/>
  <c r="G34" i="1" s="1"/>
  <c r="T34" i="1" s="1"/>
  <c r="H21" i="1" l="1"/>
  <c r="U21" i="1" s="1"/>
  <c r="V21" i="1" s="1"/>
  <c r="K32" i="1"/>
  <c r="N32" i="1"/>
  <c r="L32" i="1"/>
  <c r="J33" i="1"/>
  <c r="M33" i="1" s="1"/>
  <c r="I34" i="1"/>
  <c r="E34" i="1"/>
  <c r="D35" i="1"/>
  <c r="G35" i="1" s="1"/>
  <c r="T35" i="1" s="1"/>
  <c r="Q21" i="1" l="1"/>
  <c r="R21" i="1" s="1"/>
  <c r="S21" i="1" s="1"/>
  <c r="P21" i="1"/>
  <c r="K33" i="1"/>
  <c r="L33" i="1"/>
  <c r="N33" i="1"/>
  <c r="J34" i="1"/>
  <c r="M34" i="1" s="1"/>
  <c r="I35" i="1"/>
  <c r="D36" i="1"/>
  <c r="G36" i="1" s="1"/>
  <c r="T36" i="1" s="1"/>
  <c r="E35" i="1"/>
  <c r="X21" i="1" l="1"/>
  <c r="AB21" i="1" s="1"/>
  <c r="AC21" i="1" s="1"/>
  <c r="AL21" i="1"/>
  <c r="K34" i="1"/>
  <c r="N34" i="1"/>
  <c r="L34" i="1"/>
  <c r="J35" i="1"/>
  <c r="D37" i="1"/>
  <c r="G37" i="1" s="1"/>
  <c r="E36" i="1"/>
  <c r="I36" i="1"/>
  <c r="AD21" i="1" l="1"/>
  <c r="AE21" i="1" s="1"/>
  <c r="AF21" i="1" s="1"/>
  <c r="AG21" i="1" s="1"/>
  <c r="AH21" i="1" s="1"/>
  <c r="AN21" i="1" s="1"/>
  <c r="L35" i="1"/>
  <c r="M35" i="1"/>
  <c r="N35" i="1"/>
  <c r="K35" i="1"/>
  <c r="J36" i="1"/>
  <c r="M36" i="1" s="1"/>
  <c r="D38" i="1"/>
  <c r="G38" i="1" s="1"/>
  <c r="T38" i="1" s="1"/>
  <c r="I37" i="1"/>
  <c r="T37" i="1"/>
  <c r="E37" i="1"/>
  <c r="AM21" i="1" l="1"/>
  <c r="AO21" i="1" s="1"/>
  <c r="AP21" i="1" s="1"/>
  <c r="AI21" i="1"/>
  <c r="K36" i="1"/>
  <c r="L36" i="1"/>
  <c r="N36" i="1"/>
  <c r="J37" i="1"/>
  <c r="E38" i="1"/>
  <c r="D39" i="1"/>
  <c r="G39" i="1" s="1"/>
  <c r="T39" i="1" s="1"/>
  <c r="I38" i="1"/>
  <c r="AJ21" i="1" l="1"/>
  <c r="AK21" i="1" s="1"/>
  <c r="AQ21" i="1" s="1"/>
  <c r="AR21" i="1" s="1"/>
  <c r="N37" i="1"/>
  <c r="K37" i="1"/>
  <c r="L37" i="1"/>
  <c r="M37" i="1"/>
  <c r="J38" i="1"/>
  <c r="K38" i="1" s="1"/>
  <c r="E39" i="1"/>
  <c r="D40" i="1"/>
  <c r="G40" i="1" s="1"/>
  <c r="T40" i="1" s="1"/>
  <c r="I39" i="1"/>
  <c r="D41" i="1" l="1"/>
  <c r="G41" i="1" s="1"/>
  <c r="T41" i="1" s="1"/>
  <c r="L38" i="1"/>
  <c r="M38" i="1"/>
  <c r="N38" i="1"/>
  <c r="J39" i="1"/>
  <c r="L39" i="1" s="1"/>
  <c r="I40" i="1"/>
  <c r="E40" i="1"/>
  <c r="N39" i="1" l="1"/>
  <c r="E41" i="1"/>
  <c r="J40" i="1"/>
  <c r="L40" i="1" s="1"/>
  <c r="D42" i="1"/>
  <c r="G42" i="1" s="1"/>
  <c r="T42" i="1" s="1"/>
  <c r="K39" i="1"/>
  <c r="I41" i="1"/>
  <c r="M39" i="1"/>
  <c r="M40" i="1" l="1"/>
  <c r="E42" i="1"/>
  <c r="D43" i="1"/>
  <c r="G43" i="1" s="1"/>
  <c r="T43" i="1" s="1"/>
  <c r="I42" i="1"/>
  <c r="J42" i="1" s="1"/>
  <c r="J41" i="1"/>
  <c r="N40" i="1"/>
  <c r="K40" i="1"/>
  <c r="D44" i="1" l="1"/>
  <c r="G44" i="1" s="1"/>
  <c r="T44" i="1" s="1"/>
  <c r="I43" i="1"/>
  <c r="J43" i="1" s="1"/>
  <c r="M43" i="1" s="1"/>
  <c r="E43" i="1"/>
  <c r="M42" i="1"/>
  <c r="K42" i="1"/>
  <c r="N42" i="1"/>
  <c r="L42" i="1"/>
  <c r="M41" i="1"/>
  <c r="L41" i="1"/>
  <c r="K41" i="1"/>
  <c r="N41" i="1"/>
  <c r="E44" i="1" l="1"/>
  <c r="D45" i="1"/>
  <c r="G45" i="1" s="1"/>
  <c r="T45" i="1" s="1"/>
  <c r="I44" i="1"/>
  <c r="J44" i="1" s="1"/>
  <c r="M44" i="1" s="1"/>
  <c r="N43" i="1"/>
  <c r="L43" i="1"/>
  <c r="K43" i="1"/>
  <c r="D46" i="1" l="1"/>
  <c r="G46" i="1" s="1"/>
  <c r="T46" i="1" s="1"/>
  <c r="N44" i="1"/>
  <c r="I45" i="1"/>
  <c r="J45" i="1" s="1"/>
  <c r="M45" i="1" s="1"/>
  <c r="E45" i="1"/>
  <c r="K44" i="1"/>
  <c r="L44" i="1"/>
  <c r="I46" i="1" l="1"/>
  <c r="J46" i="1" s="1"/>
  <c r="K46" i="1" s="1"/>
  <c r="D47" i="1"/>
  <c r="G47" i="1" s="1"/>
  <c r="T47" i="1" s="1"/>
  <c r="E46" i="1"/>
  <c r="K45" i="1"/>
  <c r="N45" i="1"/>
  <c r="L45" i="1"/>
  <c r="D48" i="1" l="1"/>
  <c r="G48" i="1" s="1"/>
  <c r="T48" i="1" s="1"/>
  <c r="I47" i="1"/>
  <c r="J47" i="1" s="1"/>
  <c r="M47" i="1" s="1"/>
  <c r="E47" i="1"/>
  <c r="M46" i="1"/>
  <c r="N46" i="1"/>
  <c r="L46" i="1"/>
  <c r="E48" i="1" l="1"/>
  <c r="I48" i="1"/>
  <c r="J48" i="1" s="1"/>
  <c r="M48" i="1" s="1"/>
  <c r="D49" i="1"/>
  <c r="G49" i="1" s="1"/>
  <c r="T49" i="1" s="1"/>
  <c r="N47" i="1"/>
  <c r="K47" i="1"/>
  <c r="L47" i="1"/>
  <c r="E49" i="1" l="1"/>
  <c r="I49" i="1"/>
  <c r="J49" i="1" s="1"/>
  <c r="M49" i="1" s="1"/>
  <c r="N48" i="1"/>
  <c r="K48" i="1"/>
  <c r="L48" i="1"/>
  <c r="N49" i="1" l="1"/>
  <c r="K49" i="1"/>
  <c r="L49" i="1"/>
  <c r="F22" i="1" l="1"/>
  <c r="H22" i="1" l="1"/>
  <c r="U22" i="1" s="1"/>
  <c r="V22" i="1" s="1"/>
  <c r="P22" i="1" l="1"/>
  <c r="Q22" i="1"/>
  <c r="AL22" i="1" s="1"/>
  <c r="R22" i="1" l="1"/>
  <c r="S22" i="1" s="1"/>
  <c r="X22" i="1" l="1"/>
  <c r="AB22" i="1" s="1"/>
  <c r="AC22" i="1" s="1"/>
  <c r="AD22" i="1" l="1"/>
  <c r="AE22" i="1" s="1"/>
  <c r="AF22" i="1" l="1"/>
  <c r="AG22" i="1" l="1"/>
  <c r="AH22" i="1" s="1"/>
  <c r="AN22" i="1" s="1"/>
  <c r="AI22" i="1" l="1"/>
  <c r="AM22" i="1"/>
  <c r="AO22" i="1" s="1"/>
  <c r="AP22" i="1" s="1"/>
  <c r="AJ22" i="1" l="1"/>
  <c r="AK22" i="1" s="1"/>
  <c r="AQ22" i="1" s="1"/>
  <c r="AR22" i="1" s="1"/>
  <c r="F23" i="1" s="1"/>
  <c r="H23" i="1" l="1"/>
  <c r="U23" i="1" s="1"/>
  <c r="V23" i="1" s="1"/>
  <c r="Q23" i="1" l="1"/>
  <c r="P23" i="1"/>
  <c r="R23" i="1" l="1"/>
  <c r="X23" i="1" s="1"/>
  <c r="AD23" i="1" s="1"/>
  <c r="AE23" i="1" s="1"/>
  <c r="AL23" i="1"/>
  <c r="S23" i="1" l="1"/>
  <c r="AB23" i="1"/>
  <c r="AC23" i="1" s="1"/>
  <c r="AF23" i="1"/>
  <c r="AG23" i="1" l="1"/>
  <c r="AH23" i="1" s="1"/>
  <c r="AN23" i="1" s="1"/>
  <c r="AI23" i="1" l="1"/>
  <c r="AM23" i="1"/>
  <c r="AO23" i="1" s="1"/>
  <c r="AP23" i="1" s="1"/>
  <c r="AJ23" i="1" l="1"/>
  <c r="AK23" i="1" s="1"/>
  <c r="AQ23" i="1" s="1"/>
  <c r="AR23" i="1" s="1"/>
  <c r="F24" i="1" s="1"/>
  <c r="H24" i="1" l="1"/>
  <c r="U24" i="1" s="1"/>
  <c r="V24" i="1" s="1"/>
  <c r="P24" i="1" l="1"/>
  <c r="Q24" i="1"/>
  <c r="AL24" i="1" s="1"/>
  <c r="R24" i="1" l="1"/>
  <c r="S24" i="1" s="1"/>
  <c r="X24" i="1" l="1"/>
  <c r="AD24" i="1" s="1"/>
  <c r="AE24" i="1" s="1"/>
  <c r="AF24" i="1" s="1"/>
  <c r="AG24" i="1" s="1"/>
  <c r="AB24" i="1" l="1"/>
  <c r="AC24" i="1" s="1"/>
  <c r="AH24" i="1" s="1"/>
  <c r="AM24" i="1" l="1"/>
  <c r="AN24" i="1"/>
  <c r="AI24" i="1"/>
  <c r="AJ24" i="1" s="1"/>
  <c r="AO24" i="1" l="1"/>
  <c r="AP24" i="1" s="1"/>
  <c r="AK24" i="1" l="1"/>
  <c r="AQ24" i="1" s="1"/>
  <c r="AR24" i="1" l="1"/>
  <c r="F25" i="1" s="1"/>
  <c r="H25" i="1" l="1"/>
  <c r="P25" i="1" s="1"/>
  <c r="Q25" i="1" l="1"/>
  <c r="R25" i="1" s="1"/>
  <c r="X25" i="1" s="1"/>
  <c r="AB25" i="1" s="1"/>
  <c r="AC25" i="1" s="1"/>
  <c r="U25" i="1"/>
  <c r="V25" i="1" s="1"/>
  <c r="S25" i="1" l="1"/>
  <c r="AD25" i="1"/>
  <c r="AE25" i="1" s="1"/>
  <c r="AF25" i="1" s="1"/>
  <c r="AG25" i="1" s="1"/>
  <c r="AH25" i="1" s="1"/>
  <c r="AM25" i="1" s="1"/>
  <c r="AL25" i="1"/>
  <c r="AN25" i="1" l="1"/>
  <c r="AO25" i="1" s="1"/>
  <c r="AP25" i="1" s="1"/>
  <c r="AI25" i="1"/>
  <c r="AJ25" i="1" l="1"/>
  <c r="AK25" i="1" s="1"/>
  <c r="AQ25" i="1" s="1"/>
  <c r="AR25" i="1" s="1"/>
  <c r="F26" i="1" s="1"/>
  <c r="H26" i="1" s="1"/>
  <c r="U26" i="1" s="1"/>
  <c r="V26" i="1" s="1"/>
  <c r="P26" i="1" l="1"/>
  <c r="Q26" i="1"/>
  <c r="AL26" i="1" s="1"/>
  <c r="R26" i="1" l="1"/>
  <c r="S26" i="1" s="1"/>
  <c r="X26" i="1" l="1"/>
  <c r="AD26" i="1" s="1"/>
  <c r="AE26" i="1" s="1"/>
  <c r="AF26" i="1" s="1"/>
  <c r="AG26" i="1" s="1"/>
  <c r="AB26" i="1" l="1"/>
  <c r="AC26" i="1" s="1"/>
  <c r="AH26" i="1" s="1"/>
  <c r="AN26" i="1" s="1"/>
  <c r="AM26" i="1" l="1"/>
  <c r="AO26" i="1" s="1"/>
  <c r="AP26" i="1" s="1"/>
  <c r="AI26" i="1"/>
  <c r="AJ26" i="1" l="1"/>
  <c r="AK26" i="1" s="1"/>
  <c r="AQ26" i="1" s="1"/>
  <c r="AR26" i="1" s="1"/>
  <c r="F27" i="1" s="1"/>
  <c r="H27" i="1" s="1"/>
  <c r="U27" i="1" l="1"/>
  <c r="V27" i="1" s="1"/>
  <c r="P27" i="1"/>
  <c r="Q27" i="1"/>
  <c r="AL27" i="1" s="1"/>
  <c r="R27" i="1" l="1"/>
  <c r="X27" i="1" l="1"/>
  <c r="AD27" i="1" s="1"/>
  <c r="AE27" i="1" s="1"/>
  <c r="AF27" i="1" s="1"/>
  <c r="AG27" i="1" s="1"/>
  <c r="S27" i="1"/>
  <c r="AB27" i="1" l="1"/>
  <c r="AC27" i="1" s="1"/>
  <c r="AH27" i="1" s="1"/>
  <c r="AN27" i="1" s="1"/>
  <c r="AI27" i="1" l="1"/>
  <c r="AM27" i="1"/>
  <c r="AO27" i="1" s="1"/>
  <c r="AP27" i="1" s="1"/>
  <c r="AJ27" i="1" l="1"/>
  <c r="AK27" i="1" s="1"/>
  <c r="AQ27" i="1" s="1"/>
  <c r="AR27" i="1" s="1"/>
  <c r="F28" i="1" s="1"/>
  <c r="H28" i="1" l="1"/>
  <c r="Q28" i="1" s="1"/>
  <c r="AL28" i="1" s="1"/>
  <c r="U28" i="1" l="1"/>
  <c r="V28" i="1" s="1"/>
  <c r="P28" i="1"/>
  <c r="R28" i="1"/>
  <c r="S28" i="1" l="1"/>
  <c r="X28" i="1"/>
  <c r="AD28" i="1" s="1"/>
  <c r="AE28" i="1" s="1"/>
  <c r="AF28" i="1" s="1"/>
  <c r="AG28" i="1" s="1"/>
  <c r="AB28" i="1" l="1"/>
  <c r="AC28" i="1" s="1"/>
  <c r="AH28" i="1" s="1"/>
  <c r="AN28" i="1" s="1"/>
  <c r="AI28" i="1" l="1"/>
  <c r="AM28" i="1"/>
  <c r="AO28" i="1" s="1"/>
  <c r="AP28" i="1" s="1"/>
  <c r="AJ28" i="1" l="1"/>
  <c r="AK28" i="1" s="1"/>
  <c r="AQ28" i="1" s="1"/>
  <c r="AR28" i="1" s="1"/>
  <c r="F29" i="1" s="1"/>
  <c r="H29" i="1" l="1"/>
  <c r="U29" i="1" s="1"/>
  <c r="V29" i="1" s="1"/>
  <c r="P29" i="1" l="1"/>
  <c r="Q29" i="1"/>
  <c r="AL29" i="1" s="1"/>
  <c r="R29" i="1" l="1"/>
  <c r="X29" i="1" s="1"/>
  <c r="AD29" i="1" s="1"/>
  <c r="AE29" i="1" s="1"/>
  <c r="AF29" i="1" s="1"/>
  <c r="AG29" i="1" s="1"/>
  <c r="S29" i="1" l="1"/>
  <c r="AB29" i="1"/>
  <c r="AC29" i="1" s="1"/>
  <c r="AH29" i="1" s="1"/>
  <c r="AN29" i="1" s="1"/>
  <c r="AI29" i="1" l="1"/>
  <c r="AM29" i="1"/>
  <c r="AO29" i="1" s="1"/>
  <c r="AP29" i="1" s="1"/>
  <c r="AJ29" i="1" l="1"/>
  <c r="AK29" i="1" s="1"/>
  <c r="AQ29" i="1" s="1"/>
  <c r="AR29" i="1" s="1"/>
  <c r="F30" i="1" s="1"/>
  <c r="H30" i="1" l="1"/>
  <c r="U30" i="1" l="1"/>
  <c r="V30" i="1" s="1"/>
  <c r="Q30" i="1"/>
  <c r="AL30" i="1" s="1"/>
  <c r="P30" i="1"/>
  <c r="R30" i="1" l="1"/>
  <c r="X30" i="1" l="1"/>
  <c r="AD30" i="1" s="1"/>
  <c r="AE30" i="1" s="1"/>
  <c r="AF30" i="1" s="1"/>
  <c r="AG30" i="1" s="1"/>
  <c r="S30" i="1"/>
  <c r="AB30" i="1" l="1"/>
  <c r="AC30" i="1" s="1"/>
  <c r="AH30" i="1" s="1"/>
  <c r="AN30" i="1" s="1"/>
  <c r="AI30" i="1" l="1"/>
  <c r="AM30" i="1"/>
  <c r="AO30" i="1" s="1"/>
  <c r="AP30" i="1" s="1"/>
  <c r="AJ30" i="1" l="1"/>
  <c r="AK30" i="1" s="1"/>
  <c r="AQ30" i="1" s="1"/>
  <c r="AR30" i="1" s="1"/>
  <c r="F31" i="1" s="1"/>
  <c r="H31" i="1" l="1"/>
  <c r="U31" i="1" s="1"/>
  <c r="V31" i="1" s="1"/>
  <c r="P31" i="1" l="1"/>
  <c r="Q31" i="1"/>
  <c r="AL31" i="1" s="1"/>
  <c r="R31" i="1" l="1"/>
  <c r="X31" i="1" s="1"/>
  <c r="AD31" i="1" s="1"/>
  <c r="AE31" i="1" s="1"/>
  <c r="AF31" i="1" s="1"/>
  <c r="AG31" i="1" s="1"/>
  <c r="S31" i="1" l="1"/>
  <c r="AB31" i="1"/>
  <c r="AC31" i="1" s="1"/>
  <c r="AH31" i="1" s="1"/>
  <c r="AN31" i="1" s="1"/>
  <c r="AI31" i="1" l="1"/>
  <c r="AM31" i="1"/>
  <c r="AO31" i="1" s="1"/>
  <c r="AP31" i="1" s="1"/>
  <c r="AJ31" i="1" l="1"/>
  <c r="AK31" i="1" s="1"/>
  <c r="AQ31" i="1" s="1"/>
  <c r="AR31" i="1" s="1"/>
  <c r="F32" i="1" s="1"/>
  <c r="H32" i="1" l="1"/>
  <c r="U32" i="1" s="1"/>
  <c r="V32" i="1" s="1"/>
  <c r="P32" i="1" l="1"/>
  <c r="Q32" i="1"/>
  <c r="AL32" i="1" s="1"/>
  <c r="R32" i="1" l="1"/>
  <c r="S32" i="1" s="1"/>
  <c r="X32" i="1" l="1"/>
  <c r="AD32" i="1" s="1"/>
  <c r="AE32" i="1" s="1"/>
  <c r="AF32" i="1" s="1"/>
  <c r="AG32" i="1" s="1"/>
  <c r="AB32" i="1" l="1"/>
  <c r="AC32" i="1" s="1"/>
  <c r="AH32" i="1" s="1"/>
  <c r="AN32" i="1" s="1"/>
  <c r="AM32" i="1" l="1"/>
  <c r="AO32" i="1" s="1"/>
  <c r="AP32" i="1" s="1"/>
  <c r="AI32" i="1"/>
  <c r="AJ32" i="1" l="1"/>
  <c r="AK32" i="1" s="1"/>
  <c r="AQ32" i="1" s="1"/>
  <c r="AR32" i="1" s="1"/>
  <c r="F33" i="1" s="1"/>
  <c r="H33" i="1" l="1"/>
  <c r="U33" i="1" s="1"/>
  <c r="V33" i="1" s="1"/>
  <c r="P33" i="1" l="1"/>
  <c r="Q33" i="1"/>
  <c r="AL33" i="1" s="1"/>
  <c r="R33" i="1" l="1"/>
  <c r="X33" i="1" s="1"/>
  <c r="AD33" i="1" s="1"/>
  <c r="AE33" i="1" s="1"/>
  <c r="AF33" i="1" s="1"/>
  <c r="AG33" i="1" s="1"/>
  <c r="AB33" i="1" l="1"/>
  <c r="AC33" i="1" s="1"/>
  <c r="AH33" i="1" s="1"/>
  <c r="AN33" i="1" s="1"/>
  <c r="S33" i="1"/>
  <c r="AI33" i="1" l="1"/>
  <c r="AM33" i="1"/>
  <c r="AO33" i="1" s="1"/>
  <c r="AP33" i="1" s="1"/>
  <c r="AJ33" i="1" l="1"/>
  <c r="AK33" i="1" s="1"/>
  <c r="AQ33" i="1" s="1"/>
  <c r="AR33" i="1" s="1"/>
  <c r="F34" i="1" s="1"/>
  <c r="H34" i="1" s="1"/>
  <c r="U34" i="1" s="1"/>
  <c r="V34" i="1" s="1"/>
  <c r="P34" i="1" l="1"/>
  <c r="Q34" i="1"/>
  <c r="AL34" i="1" s="1"/>
  <c r="R34" i="1" l="1"/>
  <c r="S34" i="1" s="1"/>
  <c r="X34" i="1" l="1"/>
  <c r="AD34" i="1" s="1"/>
  <c r="AE34" i="1" s="1"/>
  <c r="AF34" i="1" s="1"/>
  <c r="AG34" i="1" s="1"/>
  <c r="AB34" i="1" l="1"/>
  <c r="AC34" i="1" s="1"/>
  <c r="AH34" i="1" s="1"/>
  <c r="AN34" i="1" s="1"/>
  <c r="AI34" i="1" l="1"/>
  <c r="AM34" i="1"/>
  <c r="AJ34" i="1" l="1"/>
  <c r="AK34" i="1" s="1"/>
  <c r="AO34" i="1"/>
  <c r="AP34" i="1" s="1"/>
  <c r="AQ34" i="1" l="1"/>
  <c r="AR34" i="1" s="1"/>
  <c r="F35" i="1" s="1"/>
  <c r="H35" i="1" l="1"/>
  <c r="U35" i="1" s="1"/>
  <c r="V35" i="1" s="1"/>
  <c r="P35" i="1" l="1"/>
  <c r="Q35" i="1"/>
  <c r="AL35" i="1" s="1"/>
  <c r="R35" i="1" l="1"/>
  <c r="S35" i="1" s="1"/>
  <c r="X35" i="1" l="1"/>
  <c r="AD35" i="1" s="1"/>
  <c r="AE35" i="1" s="1"/>
  <c r="AF35" i="1" s="1"/>
  <c r="AG35" i="1" s="1"/>
  <c r="AB35" i="1" l="1"/>
  <c r="AC35" i="1" s="1"/>
  <c r="AH35" i="1" s="1"/>
  <c r="AN35" i="1" s="1"/>
  <c r="AM35" i="1" l="1"/>
  <c r="AO35" i="1" s="1"/>
  <c r="AP35" i="1" s="1"/>
  <c r="AI35" i="1"/>
  <c r="AJ35" i="1" l="1"/>
  <c r="AK35" i="1" s="1"/>
  <c r="AQ35" i="1" s="1"/>
  <c r="AR35" i="1" s="1"/>
  <c r="F36" i="1" s="1"/>
  <c r="H36" i="1" s="1"/>
  <c r="U36" i="1" s="1"/>
  <c r="V36" i="1" s="1"/>
  <c r="Q36" i="1" l="1"/>
  <c r="AL36" i="1" s="1"/>
  <c r="P36" i="1"/>
  <c r="R36" i="1" l="1"/>
  <c r="X36" i="1" s="1"/>
  <c r="AD36" i="1" s="1"/>
  <c r="AE36" i="1" s="1"/>
  <c r="AF36" i="1" s="1"/>
  <c r="AG36" i="1" s="1"/>
  <c r="S36" i="1" l="1"/>
  <c r="AB36" i="1"/>
  <c r="AC36" i="1" s="1"/>
  <c r="AH36" i="1" s="1"/>
  <c r="AN36" i="1" s="1"/>
  <c r="AI36" i="1" l="1"/>
  <c r="AM36" i="1"/>
  <c r="AO36" i="1" s="1"/>
  <c r="AP36" i="1" s="1"/>
  <c r="AJ36" i="1" l="1"/>
  <c r="AK36" i="1" s="1"/>
  <c r="AQ36" i="1" s="1"/>
  <c r="AR36" i="1" s="1"/>
  <c r="F37" i="1" s="1"/>
  <c r="H37" i="1" l="1"/>
  <c r="U37" i="1" s="1"/>
  <c r="V37" i="1" s="1"/>
  <c r="P37" i="1" l="1"/>
  <c r="Q37" i="1"/>
  <c r="AL37" i="1" s="1"/>
  <c r="R37" i="1" l="1"/>
  <c r="S37" i="1" s="1"/>
  <c r="X37" i="1" l="1"/>
  <c r="AD37" i="1" s="1"/>
  <c r="AE37" i="1" s="1"/>
  <c r="AF37" i="1" s="1"/>
  <c r="AG37" i="1" s="1"/>
  <c r="AB37" i="1" l="1"/>
  <c r="AC37" i="1" s="1"/>
  <c r="AH37" i="1" s="1"/>
  <c r="AN37" i="1" s="1"/>
  <c r="AM37" i="1" l="1"/>
  <c r="AO37" i="1" s="1"/>
  <c r="AP37" i="1" s="1"/>
  <c r="AI37" i="1"/>
  <c r="AJ37" i="1" l="1"/>
  <c r="AK37" i="1" s="1"/>
  <c r="AQ37" i="1" s="1"/>
  <c r="AR37" i="1" s="1"/>
  <c r="F38" i="1" s="1"/>
  <c r="H38" i="1" l="1"/>
  <c r="Q38" i="1" s="1"/>
  <c r="AL38" i="1" s="1"/>
  <c r="P38" i="1" l="1"/>
  <c r="U38" i="1"/>
  <c r="V38" i="1" s="1"/>
  <c r="R38" i="1"/>
  <c r="S38" i="1" l="1"/>
  <c r="X38" i="1"/>
  <c r="AD38" i="1" s="1"/>
  <c r="AE38" i="1" s="1"/>
  <c r="AF38" i="1" s="1"/>
  <c r="AG38" i="1" s="1"/>
  <c r="AB38" i="1" l="1"/>
  <c r="AC38" i="1" s="1"/>
  <c r="AH38" i="1" s="1"/>
  <c r="AN38" i="1" s="1"/>
  <c r="AI38" i="1" l="1"/>
  <c r="AM38" i="1"/>
  <c r="AO38" i="1" s="1"/>
  <c r="AP38" i="1" s="1"/>
  <c r="AJ38" i="1" l="1"/>
  <c r="AK38" i="1" s="1"/>
  <c r="AQ38" i="1" s="1"/>
  <c r="AR38" i="1" s="1"/>
  <c r="F39" i="1" s="1"/>
  <c r="H39" i="1" l="1"/>
  <c r="U39" i="1" s="1"/>
  <c r="V39" i="1" s="1"/>
  <c r="P39" i="1" l="1"/>
  <c r="Q39" i="1"/>
  <c r="AL39" i="1" s="1"/>
  <c r="R39" i="1" l="1"/>
  <c r="X39" i="1" s="1"/>
  <c r="AD39" i="1" s="1"/>
  <c r="AE39" i="1" s="1"/>
  <c r="AF39" i="1" s="1"/>
  <c r="AG39" i="1" s="1"/>
  <c r="S39" i="1" l="1"/>
  <c r="AB39" i="1"/>
  <c r="AC39" i="1" s="1"/>
  <c r="AH39" i="1" s="1"/>
  <c r="AN39" i="1" s="1"/>
  <c r="AI39" i="1" l="1"/>
  <c r="AM39" i="1"/>
  <c r="AO39" i="1" s="1"/>
  <c r="AP39" i="1" s="1"/>
  <c r="AJ39" i="1" l="1"/>
  <c r="AK39" i="1" s="1"/>
  <c r="AQ39" i="1" s="1"/>
  <c r="AR39" i="1" s="1"/>
  <c r="F40" i="1" s="1"/>
  <c r="H40" i="1" l="1"/>
  <c r="P40" i="1" s="1"/>
  <c r="U40" i="1" l="1"/>
  <c r="V40" i="1" s="1"/>
  <c r="Q40" i="1"/>
  <c r="AL40" i="1" s="1"/>
  <c r="R40" i="1" l="1"/>
  <c r="S40" i="1" s="1"/>
  <c r="X40" i="1" l="1"/>
  <c r="AD40" i="1" s="1"/>
  <c r="AE40" i="1" s="1"/>
  <c r="AF40" i="1" s="1"/>
  <c r="AG40" i="1" s="1"/>
  <c r="AB40" i="1" l="1"/>
  <c r="AC40" i="1" s="1"/>
  <c r="AH40" i="1" s="1"/>
  <c r="AN40" i="1" s="1"/>
  <c r="AM40" i="1" l="1"/>
  <c r="AO40" i="1" s="1"/>
  <c r="AP40" i="1" s="1"/>
  <c r="AI40" i="1"/>
  <c r="AJ40" i="1" l="1"/>
  <c r="AK40" i="1" s="1"/>
  <c r="AQ40" i="1" s="1"/>
  <c r="AR40" i="1" s="1"/>
  <c r="F41" i="1" s="1"/>
  <c r="H41" i="1" l="1"/>
  <c r="U41" i="1" s="1"/>
  <c r="V41" i="1" s="1"/>
  <c r="P41" i="1" l="1"/>
  <c r="Q41" i="1"/>
  <c r="AL41" i="1" s="1"/>
  <c r="R41" i="1" l="1"/>
  <c r="X41" i="1" s="1"/>
  <c r="AD41" i="1" s="1"/>
  <c r="AE41" i="1" s="1"/>
  <c r="AF41" i="1" s="1"/>
  <c r="AG41" i="1" s="1"/>
  <c r="S41" i="1" l="1"/>
  <c r="AB41" i="1"/>
  <c r="AC41" i="1" s="1"/>
  <c r="AH41" i="1" s="1"/>
  <c r="AN41" i="1" s="1"/>
  <c r="AI41" i="1" l="1"/>
  <c r="AM41" i="1"/>
  <c r="AO41" i="1" s="1"/>
  <c r="AP41" i="1" s="1"/>
  <c r="AJ41" i="1" l="1"/>
  <c r="AK41" i="1" s="1"/>
  <c r="AQ41" i="1" s="1"/>
  <c r="AR41" i="1" s="1"/>
  <c r="F42" i="1" s="1"/>
  <c r="H42" i="1" l="1"/>
  <c r="U42" i="1" s="1"/>
  <c r="V42" i="1" s="1"/>
  <c r="P42" i="1" l="1"/>
  <c r="Q42" i="1"/>
  <c r="AL42" i="1" s="1"/>
  <c r="R42" i="1" l="1"/>
  <c r="X42" i="1" s="1"/>
  <c r="AD42" i="1" s="1"/>
  <c r="AE42" i="1" s="1"/>
  <c r="AF42" i="1" s="1"/>
  <c r="AG42" i="1" s="1"/>
  <c r="S42" i="1" l="1"/>
  <c r="AB42" i="1"/>
  <c r="AC42" i="1" s="1"/>
  <c r="AH42" i="1" s="1"/>
  <c r="AN42" i="1" s="1"/>
  <c r="AI42" i="1" l="1"/>
  <c r="AM42" i="1"/>
  <c r="AO42" i="1" s="1"/>
  <c r="AP42" i="1" s="1"/>
  <c r="AJ42" i="1" l="1"/>
  <c r="AK42" i="1" s="1"/>
  <c r="AQ42" i="1" s="1"/>
  <c r="AR42" i="1" s="1"/>
  <c r="F43" i="1" s="1"/>
  <c r="H43" i="1" l="1"/>
  <c r="U43" i="1" s="1"/>
  <c r="V43" i="1" s="1"/>
  <c r="Q43" i="1" l="1"/>
  <c r="AL43" i="1" s="1"/>
  <c r="P43" i="1"/>
  <c r="R43" i="1" l="1"/>
  <c r="X43" i="1" s="1"/>
  <c r="AD43" i="1" s="1"/>
  <c r="AE43" i="1" s="1"/>
  <c r="AF43" i="1" s="1"/>
  <c r="AG43" i="1" s="1"/>
  <c r="S43" i="1" l="1"/>
  <c r="AB43" i="1"/>
  <c r="AC43" i="1" s="1"/>
  <c r="AH43" i="1" s="1"/>
  <c r="AN43" i="1" s="1"/>
  <c r="AI43" i="1" l="1"/>
  <c r="AM43" i="1"/>
  <c r="AO43" i="1" s="1"/>
  <c r="AP43" i="1" s="1"/>
  <c r="AJ43" i="1" l="1"/>
  <c r="AK43" i="1" s="1"/>
  <c r="AQ43" i="1" s="1"/>
  <c r="AR43" i="1" s="1"/>
  <c r="F44" i="1" s="1"/>
  <c r="H44" i="1" l="1"/>
  <c r="U44" i="1" s="1"/>
  <c r="V44" i="1" s="1"/>
  <c r="Q44" i="1" l="1"/>
  <c r="P44" i="1"/>
  <c r="R44" i="1" l="1"/>
  <c r="S44" i="1" s="1"/>
  <c r="AL44" i="1"/>
  <c r="X44" i="1" l="1"/>
  <c r="AD44" i="1" s="1"/>
  <c r="AE44" i="1" s="1"/>
  <c r="AF44" i="1" s="1"/>
  <c r="AG44" i="1" s="1"/>
  <c r="AB44" i="1" l="1"/>
  <c r="AC44" i="1" s="1"/>
  <c r="AH44" i="1" s="1"/>
  <c r="AN44" i="1" s="1"/>
  <c r="AI44" i="1" l="1"/>
  <c r="AM44" i="1"/>
  <c r="AO44" i="1" s="1"/>
  <c r="AP44" i="1" s="1"/>
  <c r="AJ44" i="1" l="1"/>
  <c r="AK44" i="1" s="1"/>
  <c r="AQ44" i="1" s="1"/>
  <c r="AR44" i="1" s="1"/>
  <c r="F45" i="1" s="1"/>
  <c r="H45" i="1" s="1"/>
  <c r="U45" i="1" l="1"/>
  <c r="V45" i="1" s="1"/>
  <c r="P45" i="1"/>
  <c r="Q45" i="1"/>
  <c r="AL45" i="1" s="1"/>
  <c r="R45" i="1" l="1"/>
  <c r="S45" i="1" s="1"/>
  <c r="X45" i="1" l="1"/>
  <c r="AD45" i="1" s="1"/>
  <c r="AE45" i="1" s="1"/>
  <c r="AF45" i="1" s="1"/>
  <c r="AG45" i="1" s="1"/>
  <c r="AB45" i="1" l="1"/>
  <c r="AC45" i="1" s="1"/>
  <c r="AH45" i="1" s="1"/>
  <c r="AN45" i="1" s="1"/>
  <c r="AI45" i="1" l="1"/>
  <c r="AM45" i="1"/>
  <c r="AO45" i="1" s="1"/>
  <c r="AP45" i="1" s="1"/>
  <c r="AJ45" i="1" l="1"/>
  <c r="AK45" i="1" s="1"/>
  <c r="AQ45" i="1" s="1"/>
  <c r="AR45" i="1" s="1"/>
  <c r="F46" i="1" s="1"/>
  <c r="H46" i="1" l="1"/>
  <c r="U46" i="1" s="1"/>
  <c r="V46" i="1" s="1"/>
  <c r="P46" i="1" l="1"/>
  <c r="Q46" i="1"/>
  <c r="AL46" i="1" s="1"/>
  <c r="R46" i="1" l="1"/>
  <c r="S46" i="1" s="1"/>
  <c r="X46" i="1" l="1"/>
  <c r="AD46" i="1" s="1"/>
  <c r="AE46" i="1" s="1"/>
  <c r="AF46" i="1" s="1"/>
  <c r="AG46" i="1" s="1"/>
  <c r="AB46" i="1" l="1"/>
  <c r="AC46" i="1" s="1"/>
  <c r="AH46" i="1" s="1"/>
  <c r="AN46" i="1" s="1"/>
  <c r="AI46" i="1" l="1"/>
  <c r="AM46" i="1"/>
  <c r="AO46" i="1" s="1"/>
  <c r="AP46" i="1" s="1"/>
  <c r="AJ46" i="1" l="1"/>
  <c r="AK46" i="1" s="1"/>
  <c r="AQ46" i="1" s="1"/>
  <c r="AR46" i="1" s="1"/>
  <c r="F47" i="1" s="1"/>
  <c r="H47" i="1" l="1"/>
  <c r="U47" i="1" l="1"/>
  <c r="V47" i="1" s="1"/>
  <c r="Q47" i="1"/>
  <c r="P47" i="1"/>
  <c r="AL47" i="1" l="1"/>
  <c r="R47" i="1"/>
  <c r="X47" i="1" l="1"/>
  <c r="S47" i="1"/>
  <c r="AD47" i="1" l="1"/>
  <c r="AE47" i="1" s="1"/>
  <c r="AF47" i="1" s="1"/>
  <c r="AG47" i="1" s="1"/>
  <c r="AB47" i="1"/>
  <c r="AC47" i="1" s="1"/>
  <c r="AH47" i="1" l="1"/>
  <c r="AN47" i="1" s="1"/>
  <c r="AM47" i="1" l="1"/>
  <c r="AO47" i="1" s="1"/>
  <c r="AP47" i="1" s="1"/>
  <c r="AI47" i="1"/>
  <c r="AJ47" i="1" l="1"/>
  <c r="AK47" i="1" s="1"/>
  <c r="AQ47" i="1" s="1"/>
  <c r="AR47" i="1" s="1"/>
  <c r="F48" i="1" s="1"/>
  <c r="H48" i="1" s="1"/>
  <c r="U48" i="1" s="1"/>
  <c r="V48" i="1" s="1"/>
  <c r="P48" i="1" l="1"/>
  <c r="Q48" i="1"/>
  <c r="R48" i="1" s="1"/>
  <c r="AL48" i="1" l="1"/>
  <c r="X48" i="1"/>
  <c r="S48" i="1"/>
  <c r="AD48" i="1" l="1"/>
  <c r="AE48" i="1" s="1"/>
  <c r="AF48" i="1" s="1"/>
  <c r="AG48" i="1" s="1"/>
  <c r="AB48" i="1"/>
  <c r="AC48" i="1" s="1"/>
  <c r="AH48" i="1" l="1"/>
  <c r="AN48" i="1" s="1"/>
  <c r="AI48" i="1" l="1"/>
  <c r="AM48" i="1"/>
  <c r="AO48" i="1" s="1"/>
  <c r="AP48" i="1" s="1"/>
  <c r="AJ48" i="1" l="1"/>
  <c r="AK48" i="1" s="1"/>
  <c r="AQ48" i="1" s="1"/>
  <c r="AR48" i="1" s="1"/>
  <c r="F49" i="1" s="1"/>
  <c r="H49" i="1" s="1"/>
  <c r="U49" i="1" l="1"/>
  <c r="V49" i="1" s="1"/>
  <c r="Q49" i="1"/>
  <c r="P49" i="1"/>
  <c r="R49" i="1" l="1"/>
  <c r="AL49" i="1"/>
  <c r="S49" i="1" l="1"/>
  <c r="X49" i="1"/>
  <c r="AD49" i="1" l="1"/>
  <c r="AE49" i="1" s="1"/>
  <c r="AF49" i="1" s="1"/>
  <c r="AG49" i="1" s="1"/>
  <c r="AB49" i="1"/>
  <c r="AC49" i="1" s="1"/>
  <c r="AH49" i="1" l="1"/>
  <c r="AN49" i="1" s="1"/>
  <c r="AI49" i="1" l="1"/>
  <c r="AM49" i="1"/>
  <c r="AO49" i="1" s="1"/>
  <c r="AP49" i="1" s="1"/>
  <c r="AJ49" i="1" l="1"/>
  <c r="AK49" i="1" s="1"/>
  <c r="AQ49" i="1" s="1"/>
  <c r="AR49" i="1" s="1"/>
</calcChain>
</file>

<file path=xl/comments1.xml><?xml version="1.0" encoding="utf-8"?>
<comments xmlns="http://schemas.openxmlformats.org/spreadsheetml/2006/main">
  <authors>
    <author>Alfonso Reyes</author>
  </authors>
  <commentList>
    <comment ref="AJ19" authorId="0" shapeId="0">
      <text>
        <r>
          <rPr>
            <b/>
            <sz val="9"/>
            <color indexed="81"/>
            <rFont val="Tahoma"/>
            <family val="2"/>
          </rPr>
          <t>Alfonso Reyes:</t>
        </r>
        <r>
          <rPr>
            <sz val="9"/>
            <color indexed="81"/>
            <rFont val="Tahoma"/>
            <family val="2"/>
          </rPr>
          <t xml:space="preserve">
diameter in inches???</t>
        </r>
      </text>
    </comment>
    <comment ref="AQ19" authorId="0" shapeId="0">
      <text>
        <r>
          <rPr>
            <b/>
            <sz val="9"/>
            <color indexed="81"/>
            <rFont val="Tahoma"/>
            <family val="2"/>
          </rPr>
          <t>Alfonso Reyes:</t>
        </r>
        <r>
          <rPr>
            <sz val="9"/>
            <color indexed="81"/>
            <rFont val="Tahoma"/>
            <family val="2"/>
          </rPr>
          <t xml:space="preserve">
diemater is in feet here</t>
        </r>
      </text>
    </comment>
  </commentList>
</comments>
</file>

<file path=xl/sharedStrings.xml><?xml version="1.0" encoding="utf-8"?>
<sst xmlns="http://schemas.openxmlformats.org/spreadsheetml/2006/main" count="113" uniqueCount="108">
  <si>
    <t>depth</t>
  </si>
  <si>
    <t>oil.sg</t>
  </si>
  <si>
    <t>gas.visc</t>
  </si>
  <si>
    <t>GLR</t>
  </si>
  <si>
    <t>thp</t>
  </si>
  <si>
    <t>tht</t>
  </si>
  <si>
    <t>bht</t>
  </si>
  <si>
    <t>wcut</t>
  </si>
  <si>
    <t>if.tens</t>
  </si>
  <si>
    <t>wat.sg</t>
  </si>
  <si>
    <t>segments</t>
  </si>
  <si>
    <t>row</t>
  </si>
  <si>
    <t>temp</t>
  </si>
  <si>
    <t>pres.pc</t>
  </si>
  <si>
    <t>temp.pc</t>
  </si>
  <si>
    <t>gas.sg</t>
  </si>
  <si>
    <t>pres.pc.0</t>
  </si>
  <si>
    <t>temp.pc.0</t>
  </si>
  <si>
    <t>n2.frac</t>
  </si>
  <si>
    <t>co2.frac</t>
  </si>
  <si>
    <t>h2s.frac</t>
  </si>
  <si>
    <t>pres.pr</t>
  </si>
  <si>
    <t>temp.pr</t>
  </si>
  <si>
    <t>pres</t>
  </si>
  <si>
    <t>dp.dz</t>
  </si>
  <si>
    <t>temp.r</t>
  </si>
  <si>
    <t>A</t>
  </si>
  <si>
    <t>B</t>
  </si>
  <si>
    <t>C</t>
  </si>
  <si>
    <t>D</t>
  </si>
  <si>
    <t>Y</t>
  </si>
  <si>
    <t>F</t>
  </si>
  <si>
    <t>z</t>
  </si>
  <si>
    <t>liq.rt</t>
  </si>
  <si>
    <t>vsl</t>
  </si>
  <si>
    <t>vsg</t>
  </si>
  <si>
    <t>vsm</t>
  </si>
  <si>
    <t>vs</t>
  </si>
  <si>
    <t>oil.rt</t>
  </si>
  <si>
    <t>wat.rt</t>
  </si>
  <si>
    <t>liq.sg</t>
  </si>
  <si>
    <t>gas.rt</t>
  </si>
  <si>
    <t>API</t>
  </si>
  <si>
    <t>area</t>
  </si>
  <si>
    <t>diam.ft</t>
  </si>
  <si>
    <t>diam.in</t>
  </si>
  <si>
    <t>pi</t>
  </si>
  <si>
    <t>Constants</t>
  </si>
  <si>
    <t>liq.visc</t>
  </si>
  <si>
    <t>oil.visc</t>
  </si>
  <si>
    <t>mass.rt</t>
  </si>
  <si>
    <t>visc.base</t>
  </si>
  <si>
    <t>visc.r</t>
  </si>
  <si>
    <t>a.0</t>
  </si>
  <si>
    <t>a.1</t>
  </si>
  <si>
    <t>a.2</t>
  </si>
  <si>
    <t>a.3</t>
  </si>
  <si>
    <t>a.4</t>
  </si>
  <si>
    <t>a.5</t>
  </si>
  <si>
    <t>a.6</t>
  </si>
  <si>
    <t>a.7</t>
  </si>
  <si>
    <t>a.8</t>
  </si>
  <si>
    <t>a.9</t>
  </si>
  <si>
    <t>a.10</t>
  </si>
  <si>
    <t>a.11</t>
  </si>
  <si>
    <t>a.12</t>
  </si>
  <si>
    <t>a.13</t>
  </si>
  <si>
    <t>a.14</t>
  </si>
  <si>
    <t>a.15</t>
  </si>
  <si>
    <t>NvL</t>
  </si>
  <si>
    <t>NvG</t>
  </si>
  <si>
    <t>ND</t>
  </si>
  <si>
    <t>NL</t>
  </si>
  <si>
    <t>CNL</t>
  </si>
  <si>
    <t>X2</t>
  </si>
  <si>
    <t>pres.atm</t>
  </si>
  <si>
    <t>YL.psi</t>
  </si>
  <si>
    <t>X3</t>
  </si>
  <si>
    <t>index</t>
  </si>
  <si>
    <t>X3.mod</t>
  </si>
  <si>
    <t>psi</t>
  </si>
  <si>
    <t>YL</t>
  </si>
  <si>
    <t>mix.visc</t>
  </si>
  <si>
    <t>Re</t>
  </si>
  <si>
    <t>ff</t>
  </si>
  <si>
    <t>ed</t>
  </si>
  <si>
    <t>gas.dens</t>
  </si>
  <si>
    <t>mix.avgdens</t>
  </si>
  <si>
    <t>liq.avgdens</t>
  </si>
  <si>
    <t>gas.avgdens</t>
  </si>
  <si>
    <t>elev.grad</t>
  </si>
  <si>
    <t>fric.grad</t>
  </si>
  <si>
    <t>dL</t>
  </si>
  <si>
    <t>Hagedorn-Brown VLP by Guo, Lyons, Ghalambor</t>
  </si>
  <si>
    <t>ft^2</t>
  </si>
  <si>
    <t>inch</t>
  </si>
  <si>
    <t>feet</t>
  </si>
  <si>
    <t>cp</t>
  </si>
  <si>
    <t>psia</t>
  </si>
  <si>
    <t>deg F</t>
  </si>
  <si>
    <t>dyn/cm</t>
  </si>
  <si>
    <t>percent</t>
  </si>
  <si>
    <t>stb/day</t>
  </si>
  <si>
    <t>lb/day</t>
  </si>
  <si>
    <t>scf/day</t>
  </si>
  <si>
    <t>liq.dens</t>
  </si>
  <si>
    <t>lb/ft^3</t>
  </si>
  <si>
    <t>check Reynolds: if should use diam.ft or diam.in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</si>
</sst>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"/>
    <numFmt numFmtId="166" formatCode="0.000"/>
    <numFmt numFmtId="167" formatCode="0.000000"/>
    <numFmt numFmtId="168" formatCode="0.0000000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2" fillId="0" borderId="0" xfId="0" applyFont="1"/>
    <xf numFmtId="0" fontId="1" fillId="2" borderId="1" xfId="1"/>
    <xf numFmtId="168" fontId="0" fillId="0" borderId="0" xfId="0" applyNumberFormat="1"/>
    <xf numFmtId="1" fontId="0" fillId="0" borderId="0" xfId="0" quotePrefix="1" applyNumberFormat="1"/>
    <xf numFmtId="0" fontId="7" fillId="0" borderId="0" xfId="0" applyFont="1"/>
    <xf numFmtId="9" fontId="0" fillId="0" borderId="0" xfId="2" applyFont="1"/>
  </cellXfs>
  <cellStyles count="3">
    <cellStyle name="Input" xfId="1" builtinId="20"/>
    <cellStyle name="Normal" xfId="0" builtinId="0"/>
    <cellStyle name="Percent" xfId="2" builtinId="5"/>
  </cellStyles>
  <dxfs count="42">
    <dxf>
      <numFmt numFmtId="0" formatCode="General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7" formatCode="0.000000"/>
    </dxf>
    <dxf>
      <numFmt numFmtId="1" formatCode="0"/>
    </dxf>
    <dxf>
      <numFmt numFmtId="167" formatCode="0.000000"/>
    </dxf>
    <dxf>
      <numFmt numFmtId="167" formatCode="0.000000"/>
    </dxf>
    <dxf>
      <numFmt numFmtId="167" formatCode="0.000000"/>
    </dxf>
    <dxf>
      <numFmt numFmtId="167" formatCode="0.000000"/>
    </dxf>
    <dxf>
      <numFmt numFmtId="167" formatCode="0.000000"/>
    </dxf>
    <dxf>
      <numFmt numFmtId="167" formatCode="0.000000"/>
    </dxf>
    <dxf>
      <numFmt numFmtId="165" formatCode="0.0000"/>
    </dxf>
    <dxf>
      <numFmt numFmtId="168" formatCode="0.0000000"/>
    </dxf>
    <dxf>
      <numFmt numFmtId="167" formatCode="0.000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vs pres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Sheet1!$F$20:$F$49</c:f>
              <c:numCache>
                <c:formatCode>0</c:formatCode>
                <c:ptCount val="30"/>
                <c:pt idx="0">
                  <c:v>200</c:v>
                </c:pt>
                <c:pt idx="1">
                  <c:v>265.44238904189126</c:v>
                </c:pt>
                <c:pt idx="2">
                  <c:v>335.95574876315465</c:v>
                </c:pt>
                <c:pt idx="3">
                  <c:v>410.59072772586211</c:v>
                </c:pt>
                <c:pt idx="4">
                  <c:v>489.59953905056364</c:v>
                </c:pt>
                <c:pt idx="5">
                  <c:v>571.94013339974629</c:v>
                </c:pt>
                <c:pt idx="6">
                  <c:v>657.21542274942942</c:v>
                </c:pt>
                <c:pt idx="7">
                  <c:v>745.79845168631437</c:v>
                </c:pt>
                <c:pt idx="8">
                  <c:v>836.80329241975346</c:v>
                </c:pt>
                <c:pt idx="9">
                  <c:v>929.97339784083033</c:v>
                </c:pt>
                <c:pt idx="10">
                  <c:v>1025.557491384759</c:v>
                </c:pt>
                <c:pt idx="11">
                  <c:v>1123.0575368643279</c:v>
                </c:pt>
                <c:pt idx="12">
                  <c:v>1222.3051619205692</c:v>
                </c:pt>
                <c:pt idx="13">
                  <c:v>1323.1490457485415</c:v>
                </c:pt>
                <c:pt idx="14">
                  <c:v>1425.4525987715413</c:v>
                </c:pt>
                <c:pt idx="15">
                  <c:v>1529.0326819033253</c:v>
                </c:pt>
                <c:pt idx="16">
                  <c:v>1633.7797832833355</c:v>
                </c:pt>
                <c:pt idx="17">
                  <c:v>1739.6736690261041</c:v>
                </c:pt>
                <c:pt idx="18">
                  <c:v>1846.5918888798892</c:v>
                </c:pt>
                <c:pt idx="19">
                  <c:v>1954.445709724991</c:v>
                </c:pt>
                <c:pt idx="20">
                  <c:v>2063.1539244906476</c:v>
                </c:pt>
                <c:pt idx="21">
                  <c:v>2172.6421847605425</c:v>
                </c:pt>
                <c:pt idx="22">
                  <c:v>2282.8424010218987</c:v>
                </c:pt>
                <c:pt idx="23">
                  <c:v>2393.6864725672467</c:v>
                </c:pt>
                <c:pt idx="24">
                  <c:v>2505.024723037709</c:v>
                </c:pt>
                <c:pt idx="25">
                  <c:v>2616.9098939036589</c:v>
                </c:pt>
                <c:pt idx="26">
                  <c:v>2729.3713878931603</c:v>
                </c:pt>
                <c:pt idx="27">
                  <c:v>2842.2792703861173</c:v>
                </c:pt>
                <c:pt idx="28">
                  <c:v>2955.593969029836</c:v>
                </c:pt>
                <c:pt idx="29">
                  <c:v>3069.2793987741766</c:v>
                </c:pt>
              </c:numCache>
            </c:numRef>
          </c:xVal>
          <c:yVal>
            <c:numRef>
              <c:f>Sheet1!$Q$20:$Q$49</c:f>
              <c:numCache>
                <c:formatCode>0.000</c:formatCode>
                <c:ptCount val="30"/>
                <c:pt idx="0">
                  <c:v>0.9643586926926706</c:v>
                </c:pt>
                <c:pt idx="1">
                  <c:v>0.95695758294290356</c:v>
                </c:pt>
                <c:pt idx="2">
                  <c:v>0.96425728096397867</c:v>
                </c:pt>
                <c:pt idx="3">
                  <c:v>0.92372690005154479</c:v>
                </c:pt>
                <c:pt idx="4">
                  <c:v>0.91959974445676362</c:v>
                </c:pt>
                <c:pt idx="5">
                  <c:v>0.91681211477988789</c:v>
                </c:pt>
                <c:pt idx="6">
                  <c:v>0.87721929218006001</c:v>
                </c:pt>
                <c:pt idx="7">
                  <c:v>0.87228309862599518</c:v>
                </c:pt>
                <c:pt idx="8">
                  <c:v>0.86890787107958056</c:v>
                </c:pt>
                <c:pt idx="9">
                  <c:v>0.84236748816233298</c:v>
                </c:pt>
                <c:pt idx="10">
                  <c:v>0.83330579634866853</c:v>
                </c:pt>
                <c:pt idx="11">
                  <c:v>0.82521381753110035</c:v>
                </c:pt>
                <c:pt idx="12">
                  <c:v>0.81809000118513109</c:v>
                </c:pt>
                <c:pt idx="13">
                  <c:v>0.81192626149637059</c:v>
                </c:pt>
                <c:pt idx="14">
                  <c:v>0.80982545959674967</c:v>
                </c:pt>
                <c:pt idx="15">
                  <c:v>0.80853613210634212</c:v>
                </c:pt>
                <c:pt idx="16">
                  <c:v>0.80379370519590376</c:v>
                </c:pt>
                <c:pt idx="17">
                  <c:v>0.8015233759576007</c:v>
                </c:pt>
                <c:pt idx="18">
                  <c:v>0.80032957372823099</c:v>
                </c:pt>
                <c:pt idx="19">
                  <c:v>0.80018360184647785</c:v>
                </c:pt>
                <c:pt idx="20">
                  <c:v>0.80105649314604399</c:v>
                </c:pt>
                <c:pt idx="21">
                  <c:v>0.80291953182332365</c:v>
                </c:pt>
                <c:pt idx="22">
                  <c:v>0.80608375019230527</c:v>
                </c:pt>
                <c:pt idx="23">
                  <c:v>0.81579812620559666</c:v>
                </c:pt>
                <c:pt idx="24">
                  <c:v>0.82013367673236104</c:v>
                </c:pt>
                <c:pt idx="25">
                  <c:v>0.82045993666669859</c:v>
                </c:pt>
                <c:pt idx="26">
                  <c:v>0.82699229849046008</c:v>
                </c:pt>
                <c:pt idx="27">
                  <c:v>0.83431294178623461</c:v>
                </c:pt>
                <c:pt idx="28">
                  <c:v>0.84238631828658128</c:v>
                </c:pt>
                <c:pt idx="29">
                  <c:v>0.85117707774529594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9-483A-9736-6F0C4F60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935480"/>
        <c:axId val="1"/>
      </c:scatterChart>
      <c:valAx>
        <c:axId val="39593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354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8</xdr:row>
          <xdr:rowOff>0</xdr:rowOff>
        </xdr:from>
        <xdr:to>
          <xdr:col>9</xdr:col>
          <xdr:colOff>133350</xdr:colOff>
          <xdr:row>10</xdr:row>
          <xdr:rowOff>19050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z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104775</xdr:colOff>
      <xdr:row>0</xdr:row>
      <xdr:rowOff>114299</xdr:rowOff>
    </xdr:from>
    <xdr:to>
      <xdr:col>21</xdr:col>
      <xdr:colOff>695325</xdr:colOff>
      <xdr:row>16</xdr:row>
      <xdr:rowOff>104774</xdr:rowOff>
    </xdr:to>
    <xdr:graphicFrame macro="">
      <xdr:nvGraphicFramePr>
        <xdr:cNvPr id="1306" name="Chart 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C19:AR49" totalsRowShown="0">
  <autoFilter ref="C19:AR49"/>
  <tableColumns count="42">
    <tableColumn id="1" name="row" dataDxfId="41">
      <calculatedColumnFormula>ROW()-ROW(Table1[])+1</calculatedColumnFormula>
    </tableColumn>
    <tableColumn id="2" name="depth" dataDxfId="40">
      <calculatedColumnFormula>IF(Table1[[#This Row],[row]]=1,0,depth/(segments-1)+D19)</calculatedColumnFormula>
    </tableColumn>
    <tableColumn id="48" name="dL" dataDxfId="39">
      <calculatedColumnFormula>IF(Table1[[#This Row],[row]]=1,0, Table1[[#This Row],[depth]]-OFFSET(Table1[[#This Row],[depth]],-1,0))</calculatedColumnFormula>
    </tableColumn>
    <tableColumn id="9" name="pres" dataDxfId="38">
      <calculatedColumnFormula>IF(Table1[[#This Row],[row]]=1,thp,OFFSET(Table1[[#This Row],[dp.dz]],-1,0)*Table1[[#This Row],[dL]]+OFFSET(Table1[[#This Row],[pres]],-1,0))</calculatedColumnFormula>
    </tableColumn>
    <tableColumn id="3" name="temp" dataDxfId="37">
      <calculatedColumnFormula>IF(Table1[[#This Row],[row]]=1,tht,tht+(bht-tht)/depth*Table1[[#This Row],[depth]])</calculatedColumnFormula>
    </tableColumn>
    <tableColumn id="4" name="pres.pr" dataDxfId="36">
      <calculatedColumnFormula>Table1[[#This Row],[pres]]/pres.pc</calculatedColumnFormula>
    </tableColumn>
    <tableColumn id="5" name="temp.pr" dataDxfId="35">
      <calculatedColumnFormula>(Table1[[#This Row],[temp]]+460)/temp.pc</calculatedColumnFormula>
    </tableColumn>
    <tableColumn id="11" name="temp.r" dataDxfId="34">
      <calculatedColumnFormula>1/Table1[[#This Row],[temp.pr]]</calculatedColumnFormula>
    </tableColumn>
    <tableColumn id="14" name="A" dataDxfId="33">
      <calculatedColumnFormula>0.06125 * Table1[temp.r] * EXP(-1.2 * (1 - Table1[temp.r])^2)</calculatedColumnFormula>
    </tableColumn>
    <tableColumn id="13" name="B" dataDxfId="32">
      <calculatedColumnFormula>Table1[[#This Row],[temp.r]] * (14.76 - 9.76 *Table1[[#This Row],[temp.r]] + 4.58 * Table1[[#This Row],[temp.r]]^2)</calculatedColumnFormula>
    </tableColumn>
    <tableColumn id="12" name="C" dataDxfId="31">
      <calculatedColumnFormula xml:space="preserve"> Table1[[#This Row],[temp.r]] * (90.7 - 242.2 * Table1[[#This Row],[temp.r]] + 42.4 * Table1[[#This Row],[temp.r]]^2)</calculatedColumnFormula>
    </tableColumn>
    <tableColumn id="15" name="D" dataDxfId="30">
      <calculatedColumnFormula>2.18 + 2.82 * Table1[[#This Row],[temp.r]]</calculatedColumnFormula>
    </tableColumn>
    <tableColumn id="16" name="Y" dataDxfId="29"/>
    <tableColumn id="17" name="F" dataDxfId="28">
      <calculatedColumnFormula>(Table1[[#This Row],[Y]] + Table1[[#This Row],[Y]]^2 + Table1[[#This Row],[Y]]^3 - Table1[[#This Row],[Y]]^4) / (1 - Table1[[#This Row],[Y]])^3 - Table1[A] * Table1[pres.pr] - Table1[B] * Table1[[#This Row],[Y]]^2 + Table1[C] * Table1[[#This Row],[Y]]^Table1[D]</calculatedColumnFormula>
    </tableColumn>
    <tableColumn id="18" name="z" dataDxfId="27">
      <calculatedColumnFormula xml:space="preserve"> Table1[A] * Table1[pres.pr] / Table1[Y]</calculatedColumnFormula>
    </tableColumn>
    <tableColumn id="19" name="vsg" dataDxfId="26">
      <calculatedColumnFormula>1 / area * gas.rt * Table1[[#This Row],[z]] * (460 + Table1[[#This Row],[temp]]) / (460 + 60) * (14.7 / Table1[[#This Row],[pres]]) / 86400</calculatedColumnFormula>
    </tableColumn>
    <tableColumn id="20" name="vsm" dataDxfId="25">
      <calculatedColumnFormula xml:space="preserve"> vsl + Table1[[#This Row],[vsg]]</calculatedColumnFormula>
    </tableColumn>
    <tableColumn id="24" name="visc.base" dataDxfId="24">
      <calculatedColumnFormula>8.188 / 1000 - 6.15 / 1000 *LOG10(gas.sg) +
  (1.709 / 100000 - 2.062 / 1000000 * gas.sg) * Table1[[#This Row],[temp]]</calculatedColumnFormula>
    </tableColumn>
    <tableColumn id="25" name="visc.r" dataDxfId="23">
      <calculatedColumnFormula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calculatedColumnFormula>
    </tableColumn>
    <tableColumn id="26" name="gas.visc" dataDxfId="22">
      <calculatedColumnFormula xml:space="preserve"> Table1[visc.base]/ Table1[temp.pr] * EXP(Table1[visc.r])</calculatedColumnFormula>
    </tableColumn>
    <tableColumn id="27" name="NvL" dataDxfId="21">
      <calculatedColumnFormula xml:space="preserve"> 1.938 * vsl * (62.4 * liq.sg / if.tens)^0.25</calculatedColumnFormula>
    </tableColumn>
    <tableColumn id="28" name="NvG" dataDxfId="20">
      <calculatedColumnFormula>1.938 * Table1[vsg] * (62.4 * liq.sg / if.tens)^0.25</calculatedColumnFormula>
    </tableColumn>
    <tableColumn id="29" name="ND" dataDxfId="19">
      <calculatedColumnFormula>120.872 * diam.ft * SQRT(62.4 * liq.sg / if.tens)</calculatedColumnFormula>
    </tableColumn>
    <tableColumn id="31" name="NL" dataDxfId="18">
      <calculatedColumnFormula>0.15726 * liq.visc * (1 /(62.4 * liq.sg * if.tens^3))^0.25</calculatedColumnFormula>
    </tableColumn>
    <tableColumn id="32" name="CNL" dataDxfId="17">
      <calculatedColumnFormula>10^(-2.69851 + 0.15841 * (LOG10(Table1[NL]) + 3) - 0.551 * (LOG10(Table1[NL])+3)^2 +
               0.54785*(LOG10(Table1[NL]) + 3)^3 - 0.12195 * (LOG10(Table1[NL])+3)^4)</calculatedColumnFormula>
    </tableColumn>
    <tableColumn id="33" name="X2" dataDxfId="16">
      <calculatedColumnFormula xml:space="preserve"> Table1[NvL] * Table1[pres]^0.1 *  Table1[CNL]/ (Table1[NvG]^0.575 * pres.atm^0.1 * Table1[ND])</calculatedColumnFormula>
    </tableColumn>
    <tableColumn id="34" name="YL.psi" dataDxfId="15">
      <calculatedColumnFormula>-0.10307 + 0.61777 * (LOG10(Table1[X2]) + 6) -
    0.63295 * (LOG10(Table1[X2])+6)^2 + 0.29598 * (LOG10(Table1[X2])+6)^3 -
    0.0401 * (LOG10(Table1[X2]) + 6)^4</calculatedColumnFormula>
    </tableColumn>
    <tableColumn id="30" name="X3" dataDxfId="14">
      <calculatedColumnFormula xml:space="preserve"> Table1[NvG]* Table1[NL]^0.38 / Table1[ND]^2.14</calculatedColumnFormula>
    </tableColumn>
    <tableColumn id="35" name="index" dataDxfId="13">
      <calculatedColumnFormula>(Table1[X3]-0.012)/ABS(Table1[X3]-0.012)</calculatedColumnFormula>
    </tableColumn>
    <tableColumn id="36" name="X3.mod" dataDxfId="12">
      <calculatedColumnFormula>(1-Table1[index])/2*0.012+(1+Table1[index])/2*Table1[X3]</calculatedColumnFormula>
    </tableColumn>
    <tableColumn id="37" name="psi" dataDxfId="11">
      <calculatedColumnFormula xml:space="preserve"> 0.91163 - 4.82176 *
      Table1[X3.mod]+ 1232.25 * Table1[X3.mod]^2 -
      22253.6 * Table1[X3.mod]^3 + 116174 * Table1[X3.mod]^4</calculatedColumnFormula>
    </tableColumn>
    <tableColumn id="38" name="YL" dataDxfId="10">
      <calculatedColumnFormula>Table1[YL.psi] * Table1[psi]</calculatedColumnFormula>
    </tableColumn>
    <tableColumn id="39" name="mix.visc" dataDxfId="9">
      <calculatedColumnFormula>liq.visc^Table1[YL] * Table1[gas.visc]^(1-Table1[YL])</calculatedColumnFormula>
    </tableColumn>
    <tableColumn id="40" name="Re" dataDxfId="8">
      <calculatedColumnFormula>0.022 * mass.rt / diam.ft / Table1[mix.visc]</calculatedColumnFormula>
    </tableColumn>
    <tableColumn id="41" name="ff" dataDxfId="7">
      <calculatedColumnFormula>1 / (-4 * LOG(ed/3.7065-5.0452 / Table1[Re] * LOG(ed^1.1098 / 2.8257 + (7.149 / Table1[Re])^0.8981)))^2</calculatedColumnFormula>
    </tableColumn>
    <tableColumn id="42" name="gas.dens" dataDxfId="6">
      <calculatedColumnFormula>28.97 * gas.sg * Table1[pres] / (Table1[z] * 10.74 * (460 + Table1[temp]))</calculatedColumnFormula>
    </tableColumn>
    <tableColumn id="44" name="liq.avgdens" dataDxfId="5">
      <calculatedColumnFormula>62.4 * liq.sg * Table1[YL]</calculatedColumnFormula>
    </tableColumn>
    <tableColumn id="45" name="gas.avgdens" dataDxfId="4">
      <calculatedColumnFormula>Table1[gas.dens] * (1 - Table1[YL])</calculatedColumnFormula>
    </tableColumn>
    <tableColumn id="43" name="mix.avgdens" dataDxfId="3">
      <calculatedColumnFormula>Table1[liq.avgdens] + Table1[gas.avgdens]</calculatedColumnFormula>
    </tableColumn>
    <tableColumn id="46" name="elev.grad" dataDxfId="2">
      <calculatedColumnFormula>1 / 144 * Table1[mix.avgdens]</calculatedColumnFormula>
    </tableColumn>
    <tableColumn id="47" name="fric.grad" dataDxfId="1">
      <calculatedColumnFormula>1 / 144 * Table1[ff] * mass.rt^2 / 7.413 / 10000000000 / diam.ft^5 / Table1[mix.avgdens]</calculatedColumnFormula>
    </tableColumn>
    <tableColumn id="10" name="dp.dz" dataDxfId="0">
      <calculatedColumnFormula>Table1[elev.grad] + Table1[fric.grad]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R61"/>
  <sheetViews>
    <sheetView tabSelected="1" topLeftCell="AL19" zoomScaleNormal="100" workbookViewId="0">
      <selection activeCell="F20" sqref="F20"/>
    </sheetView>
  </sheetViews>
  <sheetFormatPr defaultRowHeight="15" x14ac:dyDescent="0.25"/>
  <cols>
    <col min="5" max="5" width="9.5703125" bestFit="1" customWidth="1"/>
    <col min="6" max="6" width="11.42578125" customWidth="1"/>
    <col min="7" max="7" width="10.28515625" customWidth="1"/>
    <col min="8" max="8" width="9.5703125" bestFit="1" customWidth="1"/>
    <col min="9" max="9" width="11" customWidth="1"/>
    <col min="20" max="20" width="12.28515625" customWidth="1"/>
    <col min="22" max="22" width="11.28515625" customWidth="1"/>
    <col min="26" max="28" width="9.5703125" bestFit="1" customWidth="1"/>
    <col min="31" max="31" width="11.42578125" customWidth="1"/>
    <col min="32" max="32" width="10.7109375" customWidth="1"/>
    <col min="34" max="34" width="11.5703125" bestFit="1" customWidth="1"/>
    <col min="35" max="35" width="12.5703125" bestFit="1" customWidth="1"/>
    <col min="36" max="36" width="8.85546875" customWidth="1"/>
    <col min="37" max="38" width="11" bestFit="1" customWidth="1"/>
    <col min="39" max="39" width="14" bestFit="1" customWidth="1"/>
    <col min="40" max="40" width="14.42578125" bestFit="1" customWidth="1"/>
    <col min="41" max="41" width="15.85546875" customWidth="1"/>
    <col min="42" max="42" width="12.5703125" bestFit="1" customWidth="1"/>
    <col min="43" max="43" width="12.28515625" customWidth="1"/>
  </cols>
  <sheetData>
    <row r="1" spans="1:14" x14ac:dyDescent="0.25">
      <c r="A1" s="8" t="s">
        <v>93</v>
      </c>
      <c r="J1" s="8" t="s">
        <v>47</v>
      </c>
    </row>
    <row r="2" spans="1:14" x14ac:dyDescent="0.25">
      <c r="A2" t="s">
        <v>0</v>
      </c>
      <c r="B2">
        <v>9700</v>
      </c>
      <c r="C2" s="12" t="s">
        <v>96</v>
      </c>
      <c r="D2" t="s">
        <v>18</v>
      </c>
      <c r="E2">
        <v>0</v>
      </c>
      <c r="F2" s="12"/>
      <c r="G2" t="s">
        <v>16</v>
      </c>
      <c r="H2">
        <f>709.604 - 58.718 * gas.sg</f>
        <v>668.50139999999999</v>
      </c>
      <c r="J2" t="s">
        <v>46</v>
      </c>
      <c r="K2" s="9">
        <f>PI()</f>
        <v>3.1415926535897931</v>
      </c>
      <c r="M2" t="s">
        <v>53</v>
      </c>
      <c r="N2">
        <v>-2.4621181999999999</v>
      </c>
    </row>
    <row r="3" spans="1:14" x14ac:dyDescent="0.25">
      <c r="A3" t="s">
        <v>45</v>
      </c>
      <c r="B3">
        <v>1.9950000000000001</v>
      </c>
      <c r="C3" s="12" t="s">
        <v>95</v>
      </c>
      <c r="D3" t="s">
        <v>19</v>
      </c>
      <c r="E3">
        <v>0</v>
      </c>
      <c r="F3" s="12"/>
      <c r="G3" t="s">
        <v>17</v>
      </c>
      <c r="H3">
        <f>170.491 + 307.344 * gas.sg</f>
        <v>385.6318</v>
      </c>
      <c r="J3" t="s">
        <v>37</v>
      </c>
      <c r="K3" s="9">
        <v>0.8</v>
      </c>
      <c r="M3" t="s">
        <v>54</v>
      </c>
      <c r="N3">
        <v>2.9705471399999999</v>
      </c>
    </row>
    <row r="4" spans="1:14" x14ac:dyDescent="0.25">
      <c r="A4" t="s">
        <v>42</v>
      </c>
      <c r="B4">
        <v>40</v>
      </c>
      <c r="C4" s="12"/>
      <c r="D4" t="s">
        <v>20</v>
      </c>
      <c r="E4">
        <v>0</v>
      </c>
      <c r="F4" s="12"/>
      <c r="G4" t="s">
        <v>13</v>
      </c>
      <c r="H4" s="1">
        <f>678 - 50 * (gas.sg - 0.5) - 206.7 * n2.frac +
      440 * co2.frac + 606.7 * h2s.frac</f>
        <v>668</v>
      </c>
      <c r="J4" t="s">
        <v>75</v>
      </c>
      <c r="K4">
        <v>14.7</v>
      </c>
      <c r="M4" t="s">
        <v>55</v>
      </c>
      <c r="N4">
        <v>-0.28626404999999999</v>
      </c>
    </row>
    <row r="5" spans="1:14" x14ac:dyDescent="0.25">
      <c r="A5" t="s">
        <v>49</v>
      </c>
      <c r="B5">
        <v>5</v>
      </c>
      <c r="C5" s="12" t="s">
        <v>97</v>
      </c>
      <c r="F5" s="12"/>
      <c r="G5" t="s">
        <v>14</v>
      </c>
      <c r="H5">
        <f>326 + 315.7 * (gas.sg - 0.5) - 240 * n2.frac -
      83.3 * co2.frac + 133.3 * h2s.frac</f>
        <v>389.14</v>
      </c>
      <c r="J5" t="s">
        <v>85</v>
      </c>
      <c r="K5">
        <v>5.9999999999999995E-4</v>
      </c>
      <c r="M5" t="s">
        <v>56</v>
      </c>
      <c r="N5">
        <v>8.0541999999999992E-3</v>
      </c>
    </row>
    <row r="6" spans="1:14" x14ac:dyDescent="0.25">
      <c r="A6" t="s">
        <v>3</v>
      </c>
      <c r="B6">
        <v>75</v>
      </c>
      <c r="C6" s="12"/>
      <c r="D6" t="s">
        <v>44</v>
      </c>
      <c r="E6">
        <f xml:space="preserve"> diam.in / 12</f>
        <v>0.16625000000000001</v>
      </c>
      <c r="F6" s="12" t="s">
        <v>96</v>
      </c>
      <c r="M6" t="s">
        <v>57</v>
      </c>
      <c r="N6">
        <v>2.8086094899999998</v>
      </c>
    </row>
    <row r="7" spans="1:14" x14ac:dyDescent="0.25">
      <c r="A7" t="s">
        <v>15</v>
      </c>
      <c r="B7">
        <v>0.7</v>
      </c>
      <c r="C7" s="12"/>
      <c r="D7" t="s">
        <v>43</v>
      </c>
      <c r="E7">
        <f>pi / 4 * diam.ft^2</f>
        <v>2.1707668925527286E-2</v>
      </c>
      <c r="F7" s="12" t="s">
        <v>94</v>
      </c>
      <c r="M7" t="s">
        <v>58</v>
      </c>
      <c r="N7">
        <v>-3.4980330500000001</v>
      </c>
    </row>
    <row r="8" spans="1:14" x14ac:dyDescent="0.25">
      <c r="A8" t="s">
        <v>4</v>
      </c>
      <c r="B8">
        <v>200</v>
      </c>
      <c r="C8" s="12" t="s">
        <v>98</v>
      </c>
      <c r="D8" t="s">
        <v>1</v>
      </c>
      <c r="E8">
        <f>141.5 / (131.5 + API)</f>
        <v>0.82507288629737607</v>
      </c>
      <c r="F8" s="12"/>
      <c r="M8" t="s">
        <v>59</v>
      </c>
      <c r="N8">
        <v>0.36037301999999999</v>
      </c>
    </row>
    <row r="9" spans="1:14" x14ac:dyDescent="0.25">
      <c r="A9" t="s">
        <v>5</v>
      </c>
      <c r="B9">
        <v>80</v>
      </c>
      <c r="C9" s="12" t="s">
        <v>99</v>
      </c>
      <c r="D9" t="s">
        <v>34</v>
      </c>
      <c r="E9">
        <f>liq.rt * 5.615 / 86400 / area</f>
        <v>2.2693006338383372</v>
      </c>
      <c r="F9" s="12"/>
      <c r="M9" t="s">
        <v>60</v>
      </c>
      <c r="N9">
        <v>-1.0443239999999999E-2</v>
      </c>
    </row>
    <row r="10" spans="1:14" x14ac:dyDescent="0.25">
      <c r="A10" t="s">
        <v>6</v>
      </c>
      <c r="B10">
        <v>180</v>
      </c>
      <c r="C10" s="12" t="s">
        <v>99</v>
      </c>
      <c r="D10" t="s">
        <v>38</v>
      </c>
      <c r="E10">
        <f>liq.rt * (1 - wcut)</f>
        <v>682.2</v>
      </c>
      <c r="F10" s="12" t="s">
        <v>102</v>
      </c>
      <c r="M10" t="s">
        <v>61</v>
      </c>
      <c r="N10">
        <v>-0.79338567999999998</v>
      </c>
    </row>
    <row r="11" spans="1:14" x14ac:dyDescent="0.25">
      <c r="A11" t="s">
        <v>33</v>
      </c>
      <c r="B11">
        <v>758</v>
      </c>
      <c r="C11" s="12"/>
      <c r="D11" t="s">
        <v>39</v>
      </c>
      <c r="E11">
        <f>liq.rt * wcut</f>
        <v>75.8</v>
      </c>
      <c r="F11" s="12" t="s">
        <v>102</v>
      </c>
      <c r="M11" t="s">
        <v>62</v>
      </c>
      <c r="N11">
        <v>1.3964330599999999</v>
      </c>
    </row>
    <row r="12" spans="1:14" x14ac:dyDescent="0.25">
      <c r="A12" t="s">
        <v>7</v>
      </c>
      <c r="B12" s="13">
        <v>0.1</v>
      </c>
      <c r="C12" s="12" t="s">
        <v>101</v>
      </c>
      <c r="D12" t="s">
        <v>41</v>
      </c>
      <c r="E12">
        <f>GLR * liq.rt</f>
        <v>56850</v>
      </c>
      <c r="F12" s="12" t="s">
        <v>104</v>
      </c>
      <c r="M12" t="s">
        <v>63</v>
      </c>
      <c r="N12">
        <v>-0.14914493000000001</v>
      </c>
    </row>
    <row r="13" spans="1:14" x14ac:dyDescent="0.25">
      <c r="A13" t="s">
        <v>8</v>
      </c>
      <c r="B13">
        <v>30</v>
      </c>
      <c r="C13" s="12" t="s">
        <v>100</v>
      </c>
      <c r="D13" t="s">
        <v>40</v>
      </c>
      <c r="E13" s="6">
        <f>(oil.rt * oil.sg + wat.sg * wat.rt) / liq.rt</f>
        <v>0.8475655976676385</v>
      </c>
      <c r="F13" s="12"/>
      <c r="M13" t="s">
        <v>64</v>
      </c>
      <c r="N13">
        <v>4.4101599999999998E-3</v>
      </c>
    </row>
    <row r="14" spans="1:14" x14ac:dyDescent="0.25">
      <c r="A14" t="s">
        <v>9</v>
      </c>
      <c r="B14">
        <v>1.05</v>
      </c>
      <c r="C14" s="12"/>
      <c r="D14" t="s">
        <v>48</v>
      </c>
      <c r="E14">
        <f>(oil.visc * oil.rt + 0.5 * wat.rt) / liq.rt</f>
        <v>4.55</v>
      </c>
      <c r="F14" s="12" t="s">
        <v>97</v>
      </c>
      <c r="M14" t="s">
        <v>65</v>
      </c>
      <c r="N14">
        <v>8.3938719999999994E-2</v>
      </c>
    </row>
    <row r="15" spans="1:14" x14ac:dyDescent="0.25">
      <c r="A15" t="s">
        <v>10</v>
      </c>
      <c r="B15">
        <f>ROWS(Sheet1!$C$20:$C$49)</f>
        <v>30</v>
      </c>
      <c r="C15" s="12"/>
      <c r="D15" t="s">
        <v>50</v>
      </c>
      <c r="E15">
        <f>liq.sg * 62.4 * liq.rt * 5.615 + 0.0765 * gas.sg * gas.rt</f>
        <v>228145.03353708456</v>
      </c>
      <c r="F15" s="12" t="s">
        <v>103</v>
      </c>
      <c r="M15" t="s">
        <v>66</v>
      </c>
      <c r="N15">
        <v>-0.18640884999999999</v>
      </c>
    </row>
    <row r="16" spans="1:14" x14ac:dyDescent="0.25">
      <c r="D16" t="s">
        <v>105</v>
      </c>
      <c r="E16">
        <f>liq.sg*62.4</f>
        <v>52.888093294460639</v>
      </c>
      <c r="F16" s="12" t="s">
        <v>106</v>
      </c>
      <c r="M16" t="s">
        <v>67</v>
      </c>
      <c r="N16">
        <v>2.033679E-2</v>
      </c>
    </row>
    <row r="17" spans="3:44" x14ac:dyDescent="0.25">
      <c r="M17" t="s">
        <v>68</v>
      </c>
      <c r="N17">
        <v>-6.0957999999999997E-4</v>
      </c>
      <c r="AJ17" t="s">
        <v>107</v>
      </c>
    </row>
    <row r="19" spans="3:44" x14ac:dyDescent="0.25">
      <c r="C19" t="s">
        <v>11</v>
      </c>
      <c r="D19" t="s">
        <v>0</v>
      </c>
      <c r="E19" t="s">
        <v>92</v>
      </c>
      <c r="F19" t="s">
        <v>23</v>
      </c>
      <c r="G19" t="s">
        <v>12</v>
      </c>
      <c r="H19" t="s">
        <v>21</v>
      </c>
      <c r="I19" t="s">
        <v>22</v>
      </c>
      <c r="J19" t="s">
        <v>25</v>
      </c>
      <c r="K19" t="s">
        <v>26</v>
      </c>
      <c r="L19" t="s">
        <v>27</v>
      </c>
      <c r="M19" t="s">
        <v>28</v>
      </c>
      <c r="N19" t="s">
        <v>29</v>
      </c>
      <c r="O19" t="s">
        <v>30</v>
      </c>
      <c r="P19" t="s">
        <v>31</v>
      </c>
      <c r="Q19" t="s">
        <v>32</v>
      </c>
      <c r="R19" t="s">
        <v>35</v>
      </c>
      <c r="S19" t="s">
        <v>36</v>
      </c>
      <c r="T19" t="s">
        <v>51</v>
      </c>
      <c r="U19" t="s">
        <v>52</v>
      </c>
      <c r="V19" t="s">
        <v>2</v>
      </c>
      <c r="W19" t="s">
        <v>69</v>
      </c>
      <c r="X19" t="s">
        <v>70</v>
      </c>
      <c r="Y19" t="s">
        <v>71</v>
      </c>
      <c r="Z19" t="s">
        <v>72</v>
      </c>
      <c r="AA19" t="s">
        <v>73</v>
      </c>
      <c r="AB19" t="s">
        <v>74</v>
      </c>
      <c r="AC19" t="s">
        <v>76</v>
      </c>
      <c r="AD19" t="s">
        <v>77</v>
      </c>
      <c r="AE19" t="s">
        <v>78</v>
      </c>
      <c r="AF19" t="s">
        <v>79</v>
      </c>
      <c r="AG19" t="s">
        <v>80</v>
      </c>
      <c r="AH19" t="s">
        <v>81</v>
      </c>
      <c r="AI19" t="s">
        <v>82</v>
      </c>
      <c r="AJ19" t="s">
        <v>83</v>
      </c>
      <c r="AK19" t="s">
        <v>84</v>
      </c>
      <c r="AL19" t="s">
        <v>86</v>
      </c>
      <c r="AM19" t="s">
        <v>88</v>
      </c>
      <c r="AN19" t="s">
        <v>89</v>
      </c>
      <c r="AO19" t="s">
        <v>87</v>
      </c>
      <c r="AP19" t="s">
        <v>90</v>
      </c>
      <c r="AQ19" t="s">
        <v>91</v>
      </c>
      <c r="AR19" t="s">
        <v>24</v>
      </c>
    </row>
    <row r="20" spans="3:44" x14ac:dyDescent="0.25">
      <c r="C20">
        <f>ROW()-ROW(Table1[])+1</f>
        <v>1</v>
      </c>
      <c r="D20" s="3">
        <f>IF(Table1[[#This Row],[row]]=1,0,depth/(segments-1)+D19)</f>
        <v>0</v>
      </c>
      <c r="E20" s="11">
        <f ca="1">IF(Table1[[#This Row],[row]]=1,0, Table1[[#This Row],[depth]]-OFFSET(Table1[[#This Row],[depth]],-1,0))</f>
        <v>0</v>
      </c>
      <c r="F20" s="3">
        <f ca="1">IF(Table1[[#This Row],[row]]=1,thp,OFFSET(Table1[[#This Row],[dp.dz]],-1,0)*Table1[[#This Row],[dL]]+OFFSET(Table1[[#This Row],[pres]],-1,0))</f>
        <v>200</v>
      </c>
      <c r="G20" s="2">
        <f>IF(Table1[[#This Row],[row]]=1,tht,tht+(bht-tht)/depth*Table1[[#This Row],[depth]])</f>
        <v>80</v>
      </c>
      <c r="H20" s="6">
        <f ca="1">Table1[[#This Row],[pres]]/pres.pc</f>
        <v>0.29940119760479039</v>
      </c>
      <c r="I20" s="6">
        <f>(Table1[[#This Row],[temp]]+460)/temp.pc</f>
        <v>1.3876753867502698</v>
      </c>
      <c r="J20" s="6">
        <f>1/Table1[[#This Row],[temp.pr]]</f>
        <v>0.72062962962962962</v>
      </c>
      <c r="K20" s="6">
        <f>0.06125 * Table1[temp.r] * EXP(-1.2 * (1 - Table1[temp.r])^2)</f>
        <v>4.0192343661354948E-2</v>
      </c>
      <c r="L20" s="6">
        <f>Table1[[#This Row],[temp.r]] * (14.76 - 9.76 *Table1[[#This Row],[temp.r]] + 4.58 * Table1[[#This Row],[temp.r]]^2)</f>
        <v>7.2820208964562285</v>
      </c>
      <c r="M20" s="6">
        <f xml:space="preserve"> Table1[[#This Row],[temp.r]] * (90.7 - 242.2 * Table1[[#This Row],[temp.r]] + 42.4 * Table1[[#This Row],[temp.r]]^2)</f>
        <v>-44.547793677899541</v>
      </c>
      <c r="N20" s="6">
        <f>2.18 + 2.82 * Table1[[#This Row],[temp.r]]</f>
        <v>4.2121755555555556</v>
      </c>
      <c r="O20" s="6">
        <v>1.2478381662276312E-2</v>
      </c>
      <c r="P20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-4.684863156431221E-5</v>
      </c>
      <c r="Q20" s="6">
        <f ca="1" xml:space="preserve"> Table1[A] * Table1[pres.pr] / Table1[Y]</f>
        <v>0.9643586926926706</v>
      </c>
      <c r="R20" s="6">
        <f ca="1">1 / area * gas.rt * Table1[[#This Row],[z]] * (460 + Table1[[#This Row],[temp]]) / (460 + 60) * (14.7 / Table1[[#This Row],[pres]]) / 86400</f>
        <v>2.2311043967215545</v>
      </c>
      <c r="S20" s="6">
        <f ca="1" xml:space="preserve"> vsl + Table1[[#This Row],[vsg]]</f>
        <v>4.5004050305598913</v>
      </c>
      <c r="T20" s="6">
        <f>8.188 / 1000 - 6.15 / 1000 *LOG10(gas.sg) +
  (1.709 / 100000 - 2.062 / 1000000 * gas.sg) * Table1[[#This Row],[temp]]</f>
        <v>1.0392375053912321E-2</v>
      </c>
      <c r="U20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0.22216004509927514</v>
      </c>
      <c r="V20" s="6">
        <f ca="1" xml:space="preserve"> Table1[visc.base]/ Table1[temp.pr] * EXP(Table1[visc.r])</f>
        <v>9.3521143454490738E-3</v>
      </c>
      <c r="W20" s="6">
        <f t="shared" ref="W20:W49" si="0" xml:space="preserve"> 1.938 * vsl * (62.4 * liq.sg / if.tens)^0.25</f>
        <v>5.0676308466678632</v>
      </c>
      <c r="X20" s="6">
        <f ca="1">1.938 * Table1[vsg] * (62.4 * liq.sg / if.tens)^0.25</f>
        <v>4.9823338936977102</v>
      </c>
      <c r="Y20" s="6">
        <f t="shared" ref="Y20:Y49" si="1">120.872 * diam.ft * SQRT(62.4 * liq.sg / if.tens)</f>
        <v>26.681220374524791</v>
      </c>
      <c r="Z20" s="6">
        <f t="shared" ref="Z20:Z49" si="2">0.15726 * liq.visc * (1 /(62.4 * liq.sg * if.tens^3))^0.25</f>
        <v>2.069899451158622E-2</v>
      </c>
      <c r="AA20" s="7">
        <f>10^(-2.69851 + 0.15841 * (LOG10(Table1[NL]) + 3) - 0.551 * (LOG10(Table1[NL])+3)^2 +
               0.54785*(LOG10(Table1[NL]) + 3)^3 - 0.12195 * (LOG10(Table1[NL])+3)^4)</f>
        <v>2.7449344798175105E-3</v>
      </c>
      <c r="AB20" s="10">
        <f ca="1" xml:space="preserve"> Table1[NvL] * Table1[pres]^0.1 *  Table1[CNL]/ (Table1[NvG]^0.575 * pres.atm^0.1 * Table1[ND])</f>
        <v>2.6883057022726716E-4</v>
      </c>
      <c r="AC20" s="5">
        <f ca="1">-0.10307 + 0.61777 * (LOG10(Table1[X2]) + 6) -
    0.63295 * (LOG10(Table1[X2])+6)^2 + 0.29598 * (LOG10(Table1[X2])+6)^3 -
    0.0401 * (LOG10(Table1[X2]) + 6)^4</f>
        <v>0.50914167359011442</v>
      </c>
      <c r="AD20" s="7">
        <f ca="1" xml:space="preserve"> Table1[NvG]* Table1[NL]^0.38 / Table1[ND]^2.14</f>
        <v>1.0125427467024409E-3</v>
      </c>
      <c r="AE20" s="7">
        <f ca="1">(Table1[X3]-0.012)/ABS(Table1[X3]-0.012)</f>
        <v>-1</v>
      </c>
      <c r="AF20" s="7">
        <f ca="1">(1-Table1[index])/2*0.012+(1+Table1[index])/2*Table1[X3]</f>
        <v>1.2E-2</v>
      </c>
      <c r="AG20" s="7">
        <f ca="1" xml:space="preserve"> 0.91163 - 4.82176 *
      Table1[X3.mod]+ 1232.25 * Table1[X3.mod]^2 -
      22253.6 * Table1[X3.mod]^3 + 116174 * Table1[X3.mod]^4</f>
        <v>0.99516764326399998</v>
      </c>
      <c r="AH20" s="7">
        <f ca="1">Table1[YL.psi] * Table1[psi]</f>
        <v>0.50668131939416294</v>
      </c>
      <c r="AI20" s="7">
        <f ca="1">liq.visc^Table1[YL] * Table1[gas.visc]^(1-Table1[YL])</f>
        <v>0.21498788457177365</v>
      </c>
      <c r="AJ20" s="3">
        <f ca="1">0.022 * mass.rt / diam.ft / Table1[mix.visc]</f>
        <v>140429.40624063116</v>
      </c>
      <c r="AK20" s="7">
        <f ca="1">1 / (-4 * LOG(ed/3.7065-5.0452 / Table1[Re] * LOG(ed^1.1098 / 2.8257 + (7.149 / Table1[Re])^0.8981)))^2</f>
        <v>5.0041038413636977E-3</v>
      </c>
      <c r="AL20" s="5">
        <f ca="1">28.97 * gas.sg * Table1[pres] / (Table1[z] * 10.74 * (460 + Table1[temp]))</f>
        <v>0.72517010176368935</v>
      </c>
      <c r="AM20" s="5">
        <f ca="1">62.4 * liq.sg * Table1[YL]</f>
        <v>26.797408890678899</v>
      </c>
      <c r="AN20" s="5">
        <f ca="1">Table1[gas.dens] * (1 - Table1[YL])</f>
        <v>0.3577399578168638</v>
      </c>
      <c r="AO20" s="5">
        <f ca="1">Table1[liq.avgdens] + Table1[gas.avgdens]</f>
        <v>27.155148848495763</v>
      </c>
      <c r="AP20" s="5">
        <f ca="1">1 / 144 * Table1[mix.avgdens]</f>
        <v>0.18857742255899834</v>
      </c>
      <c r="AQ20" s="5">
        <f ca="1">1 / 144 * Table1[ff] * mass.rt^2 / 7.413 / 10000000000 / diam.ft^5 / Table1[mix.avgdens]</f>
        <v>7.0750807621199011E-3</v>
      </c>
      <c r="AR20">
        <f ca="1">Table1[elev.grad] + Table1[fric.grad]</f>
        <v>0.19565250332111825</v>
      </c>
    </row>
    <row r="21" spans="3:44" x14ac:dyDescent="0.25">
      <c r="C21">
        <f>ROW()-ROW(Table1[])+1</f>
        <v>2</v>
      </c>
      <c r="D21" s="3">
        <f>IF(Table1[[#This Row],[row]]=1,0,depth/(segments-1)+D20)</f>
        <v>334.48275862068965</v>
      </c>
      <c r="E21" s="3">
        <f ca="1">IF(Table1[[#This Row],[row]]=1,0, Table1[[#This Row],[depth]]-OFFSET(Table1[[#This Row],[depth]],-1,0))</f>
        <v>334.48275862068965</v>
      </c>
      <c r="F21" s="3">
        <f ca="1">IF(Table1[[#This Row],[row]]=1,thp,OFFSET(Table1[[#This Row],[dp.dz]],-1,0)*Table1[[#This Row],[dL]]+OFFSET(Table1[[#This Row],[pres]],-1,0))</f>
        <v>265.44238904189126</v>
      </c>
      <c r="G21" s="2">
        <f>IF(Table1[[#This Row],[row]]=1,tht,tht+(bht-tht)/depth*Table1[[#This Row],[depth]])</f>
        <v>83.448275862068968</v>
      </c>
      <c r="H21" s="6">
        <f ca="1">Table1[[#This Row],[pres]]/pres.pc</f>
        <v>0.39736884587109472</v>
      </c>
      <c r="I21" s="6">
        <f>(Table1[[#This Row],[temp]]+460)/temp.pc</f>
        <v>1.3965366599734517</v>
      </c>
      <c r="J21" s="6">
        <f>1/Table1[[#This Row],[temp.pr]]</f>
        <v>0.7160571065989848</v>
      </c>
      <c r="K21" s="6">
        <f>0.06125 * Table1[temp.r] * EXP(-1.2 * (1 - Table1[temp.r])^2)</f>
        <v>3.9814063812154646E-2</v>
      </c>
      <c r="L21" s="6">
        <f>Table1[[#This Row],[temp.r]] * (14.76 - 9.76 *Table1[[#This Row],[temp.r]] + 4.58 * Table1[[#This Row],[temp.r]]^2)</f>
        <v>7.2462270140321641</v>
      </c>
      <c r="M21" s="6">
        <f xml:space="preserve"> Table1[[#This Row],[temp.r]] * (90.7 - 242.2 * Table1[[#This Row],[temp.r]] + 42.4 * Table1[[#This Row],[temp.r]]^2)</f>
        <v>-43.671570606109931</v>
      </c>
      <c r="N21" s="6">
        <f>2.18 + 2.82 * Table1[[#This Row],[temp.r]]</f>
        <v>4.1992810406091365</v>
      </c>
      <c r="O21" s="6">
        <v>1.6532465877767077E-2</v>
      </c>
      <c r="P21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-1.3054275990349539E-4</v>
      </c>
      <c r="Q21" s="6">
        <f ca="1" xml:space="preserve"> Table1[A] * Table1[pres.pr] / Table1[Y]</f>
        <v>0.95695758294290356</v>
      </c>
      <c r="R21" s="6">
        <f ca="1">1 / area * gas.rt * Table1[[#This Row],[z]] * (460 + Table1[[#This Row],[temp]]) / (460 + 60) * (14.7 / Table1[[#This Row],[pres]]) / 86400</f>
        <v>1.6787968833801892</v>
      </c>
      <c r="S21" s="6">
        <f ca="1" xml:space="preserve"> vsl + Table1[[#This Row],[vsg]]</f>
        <v>3.9480975172185264</v>
      </c>
      <c r="T21" s="6">
        <f>8.188 / 1000 - 6.15 / 1000 *LOG10(gas.sg) +
  (1.709 / 100000 - 2.062 / 1000000 * gas.sg) * Table1[[#This Row],[temp]]</f>
        <v>1.044632884701577E-2</v>
      </c>
      <c r="U21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0.25826662801751049</v>
      </c>
      <c r="V21" s="6">
        <f ca="1" xml:space="preserve"> Table1[visc.base]/ Table1[temp.pr] * EXP(Table1[visc.r])</f>
        <v>9.6844536260547089E-3</v>
      </c>
      <c r="W21" s="6">
        <f t="shared" si="0"/>
        <v>5.0676308466678632</v>
      </c>
      <c r="X21" s="6">
        <f ca="1">1.938 * Table1[vsg] * (62.4 * liq.sg / if.tens)^0.25</f>
        <v>3.748962453298899</v>
      </c>
      <c r="Y21" s="6">
        <f t="shared" si="1"/>
        <v>26.681220374524791</v>
      </c>
      <c r="Z21" s="6">
        <f t="shared" si="2"/>
        <v>2.069899451158622E-2</v>
      </c>
      <c r="AA21" s="7">
        <f>10^(-2.69851 + 0.15841 * (LOG10(Table1[NL]) + 3) - 0.551 * (LOG10(Table1[NL])+3)^2 +
               0.54785*(LOG10(Table1[NL]) + 3)^3 - 0.12195 * (LOG10(Table1[NL])+3)^4)</f>
        <v>2.7449344798175105E-3</v>
      </c>
      <c r="AB21" s="10">
        <f ca="1" xml:space="preserve"> Table1[NvL] * Table1[pres]^0.1 *  Table1[CNL]/ (Table1[NvG]^0.575 * pres.atm^0.1 * Table1[ND])</f>
        <v>3.2568494286437021E-4</v>
      </c>
      <c r="AC21" s="5">
        <f ca="1">-0.10307 + 0.61777 * (LOG10(Table1[X2]) + 6) -
    0.63295 * (LOG10(Table1[X2])+6)^2 + 0.29598 * (LOG10(Table1[X2])+6)^3 -
    0.0401 * (LOG10(Table1[X2]) + 6)^4</f>
        <v>0.55006485183883447</v>
      </c>
      <c r="AD21" s="7">
        <f ca="1" xml:space="preserve"> Table1[NvG]* Table1[NL]^0.38 / Table1[ND]^2.14</f>
        <v>7.6188886990276458E-4</v>
      </c>
      <c r="AE21" s="7">
        <f ca="1">(Table1[X3]-0.012)/ABS(Table1[X3]-0.012)</f>
        <v>-1</v>
      </c>
      <c r="AF21" s="7">
        <f ca="1">(1-Table1[index])/2*0.012+(1+Table1[index])/2*Table1[X3]</f>
        <v>1.2E-2</v>
      </c>
      <c r="AG21" s="7">
        <f ca="1" xml:space="preserve"> 0.91163 - 4.82176 *
      Table1[X3.mod]+ 1232.25 * Table1[X3.mod]^2 -
      22253.6 * Table1[X3.mod]^3 + 116174 * Table1[X3.mod]^4</f>
        <v>0.99516764326399998</v>
      </c>
      <c r="AH21" s="7">
        <f ca="1">Table1[YL.psi] * Table1[psi]</f>
        <v>0.54740674224681418</v>
      </c>
      <c r="AI21" s="7">
        <f ca="1">liq.visc^Table1[YL] * Table1[gas.visc]^(1-Table1[YL])</f>
        <v>0.28100306339355391</v>
      </c>
      <c r="AJ21" s="3">
        <f ca="1">0.022 * mass.rt / diam.ft / Table1[mix.visc]</f>
        <v>107438.76103962815</v>
      </c>
      <c r="AK21" s="7">
        <f ca="1">1 / (-4 * LOG(ed/3.7065-5.0452 / Table1[Re] * LOG(ed^1.1098 / 2.8257 + (7.149 / Table1[Re])^0.8981)))^2</f>
        <v>5.1539385020236929E-3</v>
      </c>
      <c r="AL21" s="5">
        <f ca="1">28.97 * gas.sg * Table1[pres] / (Table1[z] * 10.74 * (460 + Table1[temp]))</f>
        <v>0.96374386826257863</v>
      </c>
      <c r="AM21" s="5">
        <f ca="1">62.4 * liq.sg * Table1[YL]</f>
        <v>28.951298853966275</v>
      </c>
      <c r="AN21" s="5">
        <f ca="1">Table1[gas.dens] * (1 - Table1[YL])</f>
        <v>0.43618397697661759</v>
      </c>
      <c r="AO21" s="5">
        <f ca="1">Table1[liq.avgdens] + Table1[gas.avgdens]</f>
        <v>29.387482830942893</v>
      </c>
      <c r="AP21" s="5">
        <f ca="1">1 / 144 * Table1[mix.avgdens]</f>
        <v>0.20407974188154787</v>
      </c>
      <c r="AQ21" s="5">
        <f ca="1">1 / 144 * Table1[ff] * mass.rt^2 / 7.413 / 10000000000 / diam.ft^5 / Table1[mix.avgdens]</f>
        <v>6.7333954294457989E-3</v>
      </c>
      <c r="AR21">
        <f ca="1">Table1[elev.grad] + Table1[fric.grad]</f>
        <v>0.21081313731099366</v>
      </c>
    </row>
    <row r="22" spans="3:44" x14ac:dyDescent="0.25">
      <c r="C22">
        <f>ROW()-ROW(Table1[])+1</f>
        <v>3</v>
      </c>
      <c r="D22" s="3">
        <f>IF(Table1[[#This Row],[row]]=1,0,depth/(segments-1)+D21)</f>
        <v>668.9655172413793</v>
      </c>
      <c r="E22" s="3">
        <f ca="1">IF(Table1[[#This Row],[row]]=1,0, Table1[[#This Row],[depth]]-OFFSET(Table1[[#This Row],[depth]],-1,0))</f>
        <v>334.48275862068965</v>
      </c>
      <c r="F22" s="3">
        <f ca="1">IF(Table1[[#This Row],[row]]=1,thp,OFFSET(Table1[[#This Row],[dp.dz]],-1,0)*Table1[[#This Row],[dL]]+OFFSET(Table1[[#This Row],[pres]],-1,0))</f>
        <v>335.95574876315465</v>
      </c>
      <c r="G22" s="2">
        <f>IF(Table1[[#This Row],[row]]=1,tht,tht+(bht-tht)/depth*Table1[[#This Row],[depth]])</f>
        <v>86.896551724137936</v>
      </c>
      <c r="H22" s="6">
        <f ca="1">Table1[[#This Row],[pres]]/pres.pc</f>
        <v>0.50292776760951297</v>
      </c>
      <c r="I22" s="6">
        <f>(Table1[[#This Row],[temp]]+460)/temp.pc</f>
        <v>1.4053979331966333</v>
      </c>
      <c r="J22" s="6">
        <f>1/Table1[[#This Row],[temp.pr]]</f>
        <v>0.71154224464060534</v>
      </c>
      <c r="K22" s="6">
        <f>0.06125 * Table1[temp.r] * EXP(-1.2 * (1 - Table1[temp.r])^2)</f>
        <v>3.9440527654681062E-2</v>
      </c>
      <c r="L22" s="6">
        <f>Table1[[#This Row],[temp.r]] * (14.76 - 9.76 *Table1[[#This Row],[temp.r]] + 4.58 * Table1[[#This Row],[temp.r]]^2)</f>
        <v>7.2108877413222334</v>
      </c>
      <c r="M22" s="6">
        <f xml:space="preserve"> Table1[[#This Row],[temp.r]] * (90.7 - 242.2 * Table1[[#This Row],[temp.r]] + 42.4 * Table1[[#This Row],[temp.r]]^2)</f>
        <v>-42.812596999193758</v>
      </c>
      <c r="N22" s="6">
        <f>2.18 + 2.82 * Table1[[#This Row],[temp.r]]</f>
        <v>4.1865491298865072</v>
      </c>
      <c r="O22" s="6">
        <v>2.0570999999999999E-2</v>
      </c>
      <c r="P22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-5.3681095810764593E-4</v>
      </c>
      <c r="Q22" s="6">
        <f ca="1" xml:space="preserve"> Table1[A] * Table1[pres.pr] / Table1[Y]</f>
        <v>0.96425728096397867</v>
      </c>
      <c r="R22" s="6">
        <f ca="1">1 / area * gas.rt * Table1[[#This Row],[z]] * (460 + Table1[[#This Row],[temp]]) / (460 + 60) * (14.7 / Table1[[#This Row],[pres]]) / 86400</f>
        <v>1.345034931063241</v>
      </c>
      <c r="S22" s="6">
        <f ca="1" xml:space="preserve"> vsl + Table1[[#This Row],[vsg]]</f>
        <v>3.6143355649015785</v>
      </c>
      <c r="T22" s="6">
        <f>8.188 / 1000 - 6.15 / 1000 *LOG10(gas.sg) +
  (1.709 / 100000 - 2.062 / 1000000 * gas.sg) * Table1[[#This Row],[temp]]</f>
        <v>1.0500282640119218E-2</v>
      </c>
      <c r="U22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0.2949921258391211</v>
      </c>
      <c r="V22" s="6">
        <f ca="1" xml:space="preserve"> Table1[visc.base]/ Table1[temp.pr] * EXP(Table1[visc.r])</f>
        <v>1.0034948112555717E-2</v>
      </c>
      <c r="W22" s="6">
        <f t="shared" si="0"/>
        <v>5.0676308466678632</v>
      </c>
      <c r="X22" s="6">
        <f ca="1">1.938 * Table1[vsg] * (62.4 * liq.sg / if.tens)^0.25</f>
        <v>3.0036304599152723</v>
      </c>
      <c r="Y22" s="6">
        <f t="shared" si="1"/>
        <v>26.681220374524791</v>
      </c>
      <c r="Z22" s="6">
        <f t="shared" si="2"/>
        <v>2.069899451158622E-2</v>
      </c>
      <c r="AA22" s="7">
        <f>10^(-2.69851 + 0.15841 * (LOG10(Table1[NL]) + 3) - 0.551 * (LOG10(Table1[NL])+3)^2 +
               0.54785*(LOG10(Table1[NL]) + 3)^3 - 0.12195 * (LOG10(Table1[NL])+3)^4)</f>
        <v>2.7449344798175105E-3</v>
      </c>
      <c r="AB22" s="10">
        <f ca="1" xml:space="preserve"> Table1[NvL] * Table1[pres]^0.1 *  Table1[CNL]/ (Table1[NvG]^0.575 * pres.atm^0.1 * Table1[ND])</f>
        <v>3.7877473273024108E-4</v>
      </c>
      <c r="AC22" s="5">
        <f ca="1">-0.10307 + 0.61777 * (LOG10(Table1[X2]) + 6) -
    0.63295 * (LOG10(Table1[X2])+6)^2 + 0.29598 * (LOG10(Table1[X2])+6)^3 -
    0.0401 * (LOG10(Table1[X2]) + 6)^4</f>
        <v>0.58306544062997445</v>
      </c>
      <c r="AD22" s="7">
        <f ca="1" xml:space="preserve"> Table1[NvG]* Table1[NL]^0.38 / Table1[ND]^2.14</f>
        <v>6.1041758759057768E-4</v>
      </c>
      <c r="AE22" s="7">
        <f ca="1">(Table1[X3]-0.012)/ABS(Table1[X3]-0.012)</f>
        <v>-1</v>
      </c>
      <c r="AF22" s="7">
        <f ca="1">(1-Table1[index])/2*0.012+(1+Table1[index])/2*Table1[X3]</f>
        <v>1.2E-2</v>
      </c>
      <c r="AG22" s="7">
        <f ca="1" xml:space="preserve"> 0.91163 - 4.82176 *
      Table1[X3.mod]+ 1232.25 * Table1[X3.mod]^2 -
      22253.6 * Table1[X3.mod]^3 + 116174 * Table1[X3.mod]^4</f>
        <v>0.99516764326399998</v>
      </c>
      <c r="AH22" s="7">
        <f ca="1">Table1[YL.psi] * Table1[psi]</f>
        <v>0.58024786042041743</v>
      </c>
      <c r="AI22" s="7">
        <f ca="1">liq.visc^Table1[YL] * Table1[gas.visc]^(1-Table1[YL])</f>
        <v>0.34909321302437984</v>
      </c>
      <c r="AJ22" s="3">
        <f ca="1">0.022 * mass.rt / diam.ft / Table1[mix.visc]</f>
        <v>86482.97890923213</v>
      </c>
      <c r="AK22" s="7">
        <f ca="1">1 / (-4 * LOG(ed/3.7065-5.0452 / Table1[Re] * LOG(ed^1.1098 / 2.8257 + (7.149 / Table1[Re])^0.8981)))^2</f>
        <v>5.2944893141120856E-3</v>
      </c>
      <c r="AL22" s="5">
        <f ca="1">28.97 * gas.sg * Table1[pres] / (Table1[z] * 10.74 * (460 + Table1[temp]))</f>
        <v>1.2028908432415368</v>
      </c>
      <c r="AM22" s="5">
        <f ca="1">62.4 * liq.sg * Table1[YL]</f>
        <v>30.688202975826211</v>
      </c>
      <c r="AN22" s="5">
        <f ca="1">Table1[gas.dens] * (1 - Table1[YL])</f>
        <v>0.5049160051313234</v>
      </c>
      <c r="AO22" s="5">
        <f ca="1">Table1[liq.avgdens] + Table1[gas.avgdens]</f>
        <v>31.193118980957536</v>
      </c>
      <c r="AP22" s="5">
        <f ca="1">1 / 144 * Table1[mix.avgdens]</f>
        <v>0.21661888181220509</v>
      </c>
      <c r="AQ22" s="5">
        <f ca="1">1 / 144 * Table1[ff] * mass.rt^2 / 7.413 / 10000000000 / diam.ft^5 / Table1[mix.avgdens]</f>
        <v>6.5166223031059142E-3</v>
      </c>
      <c r="AR22">
        <f ca="1">Table1[elev.grad] + Table1[fric.grad]</f>
        <v>0.223135504115311</v>
      </c>
    </row>
    <row r="23" spans="3:44" x14ac:dyDescent="0.25">
      <c r="C23">
        <f>ROW()-ROW(Table1[])+1</f>
        <v>4</v>
      </c>
      <c r="D23" s="3">
        <f>IF(Table1[[#This Row],[row]]=1,0,depth/(segments-1)+D22)</f>
        <v>1003.448275862069</v>
      </c>
      <c r="E23" s="3">
        <f ca="1">IF(Table1[[#This Row],[row]]=1,0, Table1[[#This Row],[depth]]-OFFSET(Table1[[#This Row],[depth]],-1,0))</f>
        <v>334.48275862068965</v>
      </c>
      <c r="F23" s="3">
        <f ca="1">IF(Table1[[#This Row],[row]]=1,thp,OFFSET(Table1[[#This Row],[dp.dz]],-1,0)*Table1[[#This Row],[dL]]+OFFSET(Table1[[#This Row],[pres]],-1,0))</f>
        <v>410.59072772586211</v>
      </c>
      <c r="G23" s="2">
        <f>IF(Table1[[#This Row],[row]]=1,tht,tht+(bht-tht)/depth*Table1[[#This Row],[depth]])</f>
        <v>90.34482758620689</v>
      </c>
      <c r="H23" s="6">
        <f ca="1">Table1[[#This Row],[pres]]/pres.pc</f>
        <v>0.61465677803272767</v>
      </c>
      <c r="I23" s="6">
        <f>(Table1[[#This Row],[temp]]+460)/temp.pc</f>
        <v>1.4142592064198152</v>
      </c>
      <c r="J23" s="6">
        <f>1/Table1[[#This Row],[temp.pr]]</f>
        <v>0.70708395989974937</v>
      </c>
      <c r="K23" s="6">
        <f>0.06125 * Table1[temp.r] * EXP(-1.2 * (1 - Table1[temp.r])^2)</f>
        <v>3.9071692061685814E-2</v>
      </c>
      <c r="L23" s="6">
        <f>Table1[[#This Row],[temp.r]] * (14.76 - 9.76 *Table1[[#This Row],[temp.r]] + 4.58 * Table1[[#This Row],[temp.r]]^2)</f>
        <v>7.1759919907054526</v>
      </c>
      <c r="M23" s="6">
        <f xml:space="preserve"> Table1[[#This Row],[temp.r]] * (90.7 - 242.2 * Table1[[#This Row],[temp.r]] + 42.4 * Table1[[#This Row],[temp.r]]^2)</f>
        <v>-41.970455784301983</v>
      </c>
      <c r="N23" s="6">
        <f>2.18 + 2.82 * Table1[[#This Row],[temp.r]]</f>
        <v>4.1739767669172938</v>
      </c>
      <c r="O23" s="6">
        <v>2.5998680295639988E-2</v>
      </c>
      <c r="P23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1.038764357693621E-5</v>
      </c>
      <c r="Q23" s="6">
        <f ca="1" xml:space="preserve"> Table1[A] * Table1[pres.pr] / Table1[Y]</f>
        <v>0.92372690005154479</v>
      </c>
      <c r="R23" s="6">
        <f ca="1">1 / area * gas.rt * Table1[[#This Row],[z]] * (460 + Table1[[#This Row],[temp]]) / (460 + 60) * (14.7 / Table1[[#This Row],[pres]]) / 86400</f>
        <v>1.0609303437398772</v>
      </c>
      <c r="S23" s="6">
        <f ca="1" xml:space="preserve"> vsl + Table1[[#This Row],[vsg]]</f>
        <v>3.3302309775782142</v>
      </c>
      <c r="T23" s="6">
        <f>8.188 / 1000 - 6.15 / 1000 *LOG10(gas.sg) +
  (1.709 / 100000 - 2.062 / 1000000 * gas.sg) * Table1[[#This Row],[temp]]</f>
        <v>1.0554236433222666E-2</v>
      </c>
      <c r="U23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0.3318098644063403</v>
      </c>
      <c r="V23" s="6">
        <f ca="1" xml:space="preserve"> Table1[visc.base]/ Table1[temp.pr] * EXP(Table1[visc.r])</f>
        <v>1.039922554349678E-2</v>
      </c>
      <c r="W23" s="6">
        <f t="shared" si="0"/>
        <v>5.0676308466678632</v>
      </c>
      <c r="X23" s="6">
        <f ca="1">1.938 * Table1[vsg] * (62.4 * liq.sg / if.tens)^0.25</f>
        <v>2.3691895449781781</v>
      </c>
      <c r="Y23" s="6">
        <f t="shared" si="1"/>
        <v>26.681220374524791</v>
      </c>
      <c r="Z23" s="6">
        <f t="shared" si="2"/>
        <v>2.069899451158622E-2</v>
      </c>
      <c r="AA23" s="7">
        <f>10^(-2.69851 + 0.15841 * (LOG10(Table1[NL]) + 3) - 0.551 * (LOG10(Table1[NL])+3)^2 +
               0.54785*(LOG10(Table1[NL]) + 3)^3 - 0.12195 * (LOG10(Table1[NL])+3)^4)</f>
        <v>2.7449344798175105E-3</v>
      </c>
      <c r="AB23" s="10">
        <f ca="1" xml:space="preserve"> Table1[NvL] * Table1[pres]^0.1 *  Table1[CNL]/ (Table1[NvG]^0.575 * pres.atm^0.1 * Table1[ND])</f>
        <v>4.4294066630047433E-4</v>
      </c>
      <c r="AC23" s="5">
        <f ca="1">-0.10307 + 0.61777 * (LOG10(Table1[X2]) + 6) -
    0.63295 * (LOG10(Table1[X2])+6)^2 + 0.29598 * (LOG10(Table1[X2])+6)^3 -
    0.0401 * (LOG10(Table1[X2]) + 6)^4</f>
        <v>0.61777722078388919</v>
      </c>
      <c r="AD23" s="7">
        <f ca="1" xml:space="preserve"> Table1[NvG]* Table1[NL]^0.38 / Table1[ND]^2.14</f>
        <v>4.8148232144083156E-4</v>
      </c>
      <c r="AE23" s="7">
        <f ca="1">(Table1[X3]-0.012)/ABS(Table1[X3]-0.012)</f>
        <v>-1</v>
      </c>
      <c r="AF23" s="7">
        <f ca="1">(1-Table1[index])/2*0.012+(1+Table1[index])/2*Table1[X3]</f>
        <v>1.2E-2</v>
      </c>
      <c r="AG23" s="7">
        <f ca="1" xml:space="preserve"> 0.91163 - 4.82176 *
      Table1[X3.mod]+ 1232.25 * Table1[X3.mod]^2 -
      22253.6 * Table1[X3.mod]^3 + 116174 * Table1[X3.mod]^4</f>
        <v>0.99516764326399998</v>
      </c>
      <c r="AH23" s="7">
        <f ca="1">Table1[YL.psi] * Table1[psi]</f>
        <v>0.61479190086968682</v>
      </c>
      <c r="AI23" s="7">
        <f ca="1">liq.visc^Table1[YL] * Table1[gas.visc]^(1-Table1[YL])</f>
        <v>0.43719259861117854</v>
      </c>
      <c r="AJ23" s="3">
        <f ca="1">0.022 * mass.rt / diam.ft / Table1[mix.visc]</f>
        <v>69055.654362058034</v>
      </c>
      <c r="AK23" s="7">
        <f ca="1">1 / (-4 * LOG(ed/3.7065-5.0452 / Table1[Re] * LOG(ed^1.1098 / 2.8257 + (7.149 / Table1[Re])^0.8981)))^2</f>
        <v>5.4599470580597711E-3</v>
      </c>
      <c r="AL23" s="5">
        <f ca="1">28.97 * gas.sg * Table1[pres] / (Table1[z] * 10.74 * (460 + Table1[temp]))</f>
        <v>1.5250107718784169</v>
      </c>
      <c r="AM23" s="5">
        <f ca="1">62.4 * liq.sg * Table1[YL]</f>
        <v>32.515171409874796</v>
      </c>
      <c r="AN23" s="5">
        <f ca="1">Table1[gas.dens] * (1 - Table1[YL])</f>
        <v>0.58744650058853665</v>
      </c>
      <c r="AO23" s="5">
        <f ca="1">Table1[liq.avgdens] + Table1[gas.avgdens]</f>
        <v>33.10261791046333</v>
      </c>
      <c r="AP23" s="5">
        <f ca="1">1 / 144 * Table1[mix.avgdens]</f>
        <v>0.22987929104488422</v>
      </c>
      <c r="AQ23" s="5">
        <f ca="1">1 / 144 * Table1[ff] * mass.rt^2 / 7.413 / 10000000000 / diam.ft^5 / Table1[mix.avgdens]</f>
        <v>6.3326191011306692E-3</v>
      </c>
      <c r="AR23">
        <f ca="1">Table1[elev.grad] + Table1[fric.grad]</f>
        <v>0.23621191014601489</v>
      </c>
    </row>
    <row r="24" spans="3:44" x14ac:dyDescent="0.25">
      <c r="C24">
        <f>ROW()-ROW(Table1[])+1</f>
        <v>5</v>
      </c>
      <c r="D24" s="3">
        <f>IF(Table1[[#This Row],[row]]=1,0,depth/(segments-1)+D23)</f>
        <v>1337.9310344827586</v>
      </c>
      <c r="E24" s="3">
        <f ca="1">IF(Table1[[#This Row],[row]]=1,0, Table1[[#This Row],[depth]]-OFFSET(Table1[[#This Row],[depth]],-1,0))</f>
        <v>334.48275862068965</v>
      </c>
      <c r="F24" s="3">
        <f ca="1">IF(Table1[[#This Row],[row]]=1,thp,OFFSET(Table1[[#This Row],[dp.dz]],-1,0)*Table1[[#This Row],[dL]]+OFFSET(Table1[[#This Row],[pres]],-1,0))</f>
        <v>489.59953905056364</v>
      </c>
      <c r="G24" s="2">
        <f>IF(Table1[[#This Row],[row]]=1,tht,tht+(bht-tht)/depth*Table1[[#This Row],[depth]])</f>
        <v>93.793103448275858</v>
      </c>
      <c r="H24" s="6">
        <f ca="1">Table1[[#This Row],[pres]]/pres.pc</f>
        <v>0.73293344169246055</v>
      </c>
      <c r="I24" s="6">
        <f>(Table1[[#This Row],[temp]]+460)/temp.pc</f>
        <v>1.423120479642997</v>
      </c>
      <c r="J24" s="6">
        <f>1/Table1[[#This Row],[temp.pr]]</f>
        <v>0.70268119551681196</v>
      </c>
      <c r="K24" s="6">
        <f>0.06125 * Table1[temp.r] * EXP(-1.2 * (1 - Table1[temp.r])^2)</f>
        <v>3.8707512481071196E-2</v>
      </c>
      <c r="L24" s="6">
        <f>Table1[[#This Row],[temp.r]] * (14.76 - 9.76 *Table1[[#This Row],[temp.r]] + 4.58 * Table1[[#This Row],[temp.r]]^2)</f>
        <v>7.1415290746896636</v>
      </c>
      <c r="M24" s="6">
        <f xml:space="preserve"> Table1[[#This Row],[temp.r]] * (90.7 - 242.2 * Table1[[#This Row],[temp.r]] + 42.4 * Table1[[#This Row],[temp.r]]^2)</f>
        <v>-41.144742009098309</v>
      </c>
      <c r="N24" s="6">
        <f>2.18 + 2.82 * Table1[[#This Row],[temp.r]]</f>
        <v>4.1615609713574102</v>
      </c>
      <c r="O24" s="6">
        <v>3.0850411293735676E-2</v>
      </c>
      <c r="P24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-2.2006748871414416E-4</v>
      </c>
      <c r="Q24" s="6">
        <f ca="1" xml:space="preserve"> Table1[A] * Table1[pres.pr] / Table1[Y]</f>
        <v>0.91959974445676362</v>
      </c>
      <c r="R24" s="6">
        <f ca="1">1 / area * gas.rt * Table1[[#This Row],[z]] * (460 + Table1[[#This Row],[temp]]) / (460 + 60) * (14.7 / Table1[[#This Row],[pres]]) / 86400</f>
        <v>0.89129796108584036</v>
      </c>
      <c r="S24" s="6">
        <f ca="1" xml:space="preserve"> vsl + Table1[[#This Row],[vsg]]</f>
        <v>3.1605985949241777</v>
      </c>
      <c r="T24" s="6">
        <f>8.188 / 1000 - 6.15 / 1000 *LOG10(gas.sg) +
  (1.709 / 100000 - 2.062 / 1000000 * gas.sg) * Table1[[#This Row],[temp]]</f>
        <v>1.0608190226326114E-2</v>
      </c>
      <c r="U24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0.36871839439733795</v>
      </c>
      <c r="V24" s="6">
        <f ca="1" xml:space="preserve"> Table1[visc.base]/ Table1[temp.pr] * EXP(Table1[visc.r])</f>
        <v>1.0777846512065741E-2</v>
      </c>
      <c r="W24" s="6">
        <f t="shared" si="0"/>
        <v>5.0676308466678632</v>
      </c>
      <c r="X24" s="6">
        <f ca="1">1.938 * Table1[vsg] * (62.4 * liq.sg / if.tens)^0.25</f>
        <v>1.990379315027569</v>
      </c>
      <c r="Y24" s="6">
        <f t="shared" si="1"/>
        <v>26.681220374524791</v>
      </c>
      <c r="Z24" s="6">
        <f t="shared" si="2"/>
        <v>2.069899451158622E-2</v>
      </c>
      <c r="AA24" s="7">
        <f>10^(-2.69851 + 0.15841 * (LOG10(Table1[NL]) + 3) - 0.551 * (LOG10(Table1[NL])+3)^2 +
               0.54785*(LOG10(Table1[NL]) + 3)^3 - 0.12195 * (LOG10(Table1[NL])+3)^4)</f>
        <v>2.7449344798175105E-3</v>
      </c>
      <c r="AB24" s="10">
        <f ca="1" xml:space="preserve"> Table1[NvL] * Table1[pres]^0.1 *  Table1[CNL]/ (Table1[NvG]^0.575 * pres.atm^0.1 * Table1[ND])</f>
        <v>4.9830531177139277E-4</v>
      </c>
      <c r="AC24" s="5">
        <f ca="1">-0.10307 + 0.61777 * (LOG10(Table1[X2]) + 6) -
    0.63295 * (LOG10(Table1[X2])+6)^2 + 0.29598 * (LOG10(Table1[X2])+6)^3 -
    0.0401 * (LOG10(Table1[X2]) + 6)^4</f>
        <v>0.64410776221686739</v>
      </c>
      <c r="AD24" s="7">
        <f ca="1" xml:space="preserve"> Table1[NvG]* Table1[NL]^0.38 / Table1[ND]^2.14</f>
        <v>4.0449800868765573E-4</v>
      </c>
      <c r="AE24" s="7">
        <f ca="1">(Table1[X3]-0.012)/ABS(Table1[X3]-0.012)</f>
        <v>-1</v>
      </c>
      <c r="AF24" s="7">
        <f ca="1">(1-Table1[index])/2*0.012+(1+Table1[index])/2*Table1[X3]</f>
        <v>1.2E-2</v>
      </c>
      <c r="AG24" s="7">
        <f ca="1" xml:space="preserve"> 0.91163 - 4.82176 *
      Table1[X3.mod]+ 1232.25 * Table1[X3.mod]^2 -
      22253.6 * Table1[X3.mod]^3 + 116174 * Table1[X3.mod]^4</f>
        <v>0.99516764326399998</v>
      </c>
      <c r="AH24" s="7">
        <f ca="1">Table1[YL.psi] * Table1[psi]</f>
        <v>0.64099520373340879</v>
      </c>
      <c r="AI24" s="7">
        <f ca="1">liq.visc^Table1[YL] * Table1[gas.visc]^(1-Table1[YL])</f>
        <v>0.51933991052110606</v>
      </c>
      <c r="AJ24" s="3">
        <f ca="1">0.022 * mass.rt / diam.ft / Table1[mix.visc]</f>
        <v>58132.680288426563</v>
      </c>
      <c r="AK24" s="7">
        <f ca="1">1 / (-4 * LOG(ed/3.7065-5.0452 / Table1[Re] * LOG(ed^1.1098 / 2.8257 + (7.149 / Table1[Re])^0.8981)))^2</f>
        <v>5.6010261127629624E-3</v>
      </c>
      <c r="AL24" s="5">
        <f ca="1">28.97 * gas.sg * Table1[pres] / (Table1[z] * 10.74 * (460 + Table1[temp]))</f>
        <v>1.8152517710743006</v>
      </c>
      <c r="AM24" s="5">
        <f ca="1">62.4 * liq.sg * Table1[YL]</f>
        <v>33.901014136354327</v>
      </c>
      <c r="AN24" s="5">
        <f ca="1">Table1[gas.dens] * (1 - Table1[YL])</f>
        <v>0.65168409224709811</v>
      </c>
      <c r="AO24" s="5">
        <f ca="1">Table1[liq.avgdens] + Table1[gas.avgdens]</f>
        <v>34.552698228601422</v>
      </c>
      <c r="AP24" s="5">
        <f ca="1">1 / 144 * Table1[mix.avgdens]</f>
        <v>0.23994929325417652</v>
      </c>
      <c r="AQ24" s="5">
        <f ca="1">1 / 144 * Table1[ff] * mass.rt^2 / 7.413 / 10000000000 / diam.ft^5 / Table1[mix.avgdens]</f>
        <v>6.2236176866788577E-3</v>
      </c>
      <c r="AR24">
        <f ca="1">Table1[elev.grad] + Table1[fric.grad]</f>
        <v>0.24617291094085539</v>
      </c>
    </row>
    <row r="25" spans="3:44" x14ac:dyDescent="0.25">
      <c r="C25">
        <f>ROW()-ROW(Table1[])+1</f>
        <v>6</v>
      </c>
      <c r="D25" s="3">
        <f>IF(Table1[[#This Row],[row]]=1,0,depth/(segments-1)+D24)</f>
        <v>1672.4137931034484</v>
      </c>
      <c r="E25" s="3">
        <f ca="1">IF(Table1[[#This Row],[row]]=1,0, Table1[[#This Row],[depth]]-OFFSET(Table1[[#This Row],[depth]],-1,0))</f>
        <v>334.48275862068976</v>
      </c>
      <c r="F25" s="3">
        <f ca="1">IF(Table1[[#This Row],[row]]=1,thp,OFFSET(Table1[[#This Row],[dp.dz]],-1,0)*Table1[[#This Row],[dL]]+OFFSET(Table1[[#This Row],[pres]],-1,0))</f>
        <v>571.94013339974629</v>
      </c>
      <c r="G25" s="2">
        <f>IF(Table1[[#This Row],[row]]=1,tht,tht+(bht-tht)/depth*Table1[[#This Row],[depth]])</f>
        <v>97.241379310344826</v>
      </c>
      <c r="H25" s="6">
        <f ca="1">Table1[[#This Row],[pres]]/pres.pc</f>
        <v>0.8561978044906382</v>
      </c>
      <c r="I25" s="6">
        <f>(Table1[[#This Row],[temp]]+460)/temp.pc</f>
        <v>1.4319817528661791</v>
      </c>
      <c r="J25" s="6">
        <f>1/Table1[[#This Row],[temp.pr]]</f>
        <v>0.69833292079207909</v>
      </c>
      <c r="K25" s="6">
        <f>0.06125 * Table1[temp.r] * EXP(-1.2 * (1 - Table1[temp.r])^2)</f>
        <v>3.8347943097412199E-2</v>
      </c>
      <c r="L25" s="6">
        <f>Table1[[#This Row],[temp.r]] * (14.76 - 9.76 *Table1[[#This Row],[temp.r]] + 4.58 * Table1[[#This Row],[temp.r]]^2)</f>
        <v>7.1074886878536789</v>
      </c>
      <c r="M25" s="6">
        <f xml:space="preserve"> Table1[[#This Row],[temp.r]] * (90.7 - 242.2 * Table1[[#This Row],[temp.r]] + 42.4 * Table1[[#This Row],[temp.r]]^2)</f>
        <v>-40.335062430736571</v>
      </c>
      <c r="N25" s="6">
        <f>2.18 + 2.82 * Table1[[#This Row],[temp.r]]</f>
        <v>4.1492988366336636</v>
      </c>
      <c r="O25" s="6">
        <v>3.5812599067388019E-2</v>
      </c>
      <c r="P25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-5.560123317437844E-4</v>
      </c>
      <c r="Q25" s="6">
        <f ca="1" xml:space="preserve"> Table1[A] * Table1[pres.pr] / Table1[Y]</f>
        <v>0.91681211477988789</v>
      </c>
      <c r="R25" s="6">
        <f ca="1">1 / area * gas.rt * Table1[[#This Row],[z]] * (460 + Table1[[#This Row],[temp]]) / (460 + 60) * (14.7 / Table1[[#This Row],[pres]]) / 86400</f>
        <v>0.76540387746224381</v>
      </c>
      <c r="S25" s="6">
        <f ca="1" xml:space="preserve"> vsl + Table1[[#This Row],[vsg]]</f>
        <v>3.0347045113005811</v>
      </c>
      <c r="T25" s="6">
        <f>8.188 / 1000 - 6.15 / 1000 *LOG10(gas.sg) +
  (1.709 / 100000 - 2.062 / 1000000 * gas.sg) * Table1[[#This Row],[temp]]</f>
        <v>1.0662144019429562E-2</v>
      </c>
      <c r="U25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0.40522457627835362</v>
      </c>
      <c r="V25" s="6">
        <f ca="1" xml:space="preserve"> Table1[visc.base]/ Table1[temp.pr] * EXP(Table1[visc.r])</f>
        <v>1.1165903184335952E-2</v>
      </c>
      <c r="W25" s="6">
        <f t="shared" si="0"/>
        <v>5.0676308466678632</v>
      </c>
      <c r="X25" s="6">
        <f ca="1">1.938 * Table1[vsg] * (62.4 * liq.sg / if.tens)^0.25</f>
        <v>1.7092421522952683</v>
      </c>
      <c r="Y25" s="6">
        <f t="shared" si="1"/>
        <v>26.681220374524791</v>
      </c>
      <c r="Z25" s="6">
        <f t="shared" si="2"/>
        <v>2.069899451158622E-2</v>
      </c>
      <c r="AA25" s="7">
        <f>10^(-2.69851 + 0.15841 * (LOG10(Table1[NL]) + 3) - 0.551 * (LOG10(Table1[NL])+3)^2 +
               0.54785*(LOG10(Table1[NL]) + 3)^3 - 0.12195 * (LOG10(Table1[NL])+3)^4)</f>
        <v>2.7449344798175105E-3</v>
      </c>
      <c r="AB25" s="10">
        <f ca="1" xml:space="preserve"> Table1[NvL] * Table1[pres]^0.1 *  Table1[CNL]/ (Table1[NvG]^0.575 * pres.atm^0.1 * Table1[ND])</f>
        <v>5.5242397749016414E-4</v>
      </c>
      <c r="AC25" s="5">
        <f ca="1">-0.10307 + 0.61777 * (LOG10(Table1[X2]) + 6) -
    0.63295 * (LOG10(Table1[X2])+6)^2 + 0.29598 * (LOG10(Table1[X2])+6)^3 -
    0.0401 * (LOG10(Table1[X2]) + 6)^4</f>
        <v>0.66721060617079608</v>
      </c>
      <c r="AD25" s="7">
        <f ca="1" xml:space="preserve"> Table1[NvG]* Table1[NL]^0.38 / Table1[ND]^2.14</f>
        <v>3.4736346069737082E-4</v>
      </c>
      <c r="AE25" s="7">
        <f ca="1">(Table1[X3]-0.012)/ABS(Table1[X3]-0.012)</f>
        <v>-1</v>
      </c>
      <c r="AF25" s="7">
        <f ca="1">(1-Table1[index])/2*0.012+(1+Table1[index])/2*Table1[X3]</f>
        <v>1.2E-2</v>
      </c>
      <c r="AG25" s="7">
        <f ca="1" xml:space="preserve"> 0.91163 - 4.82176 *
      Table1[X3.mod]+ 1232.25 * Table1[X3.mod]^2 -
      22253.6 * Table1[X3.mod]^3 + 116174 * Table1[X3.mod]^4</f>
        <v>0.99516764326399998</v>
      </c>
      <c r="AH25" s="7">
        <f ca="1">Table1[YL.psi] * Table1[psi]</f>
        <v>0.66398640650373597</v>
      </c>
      <c r="AI25" s="7">
        <f ca="1">liq.visc^Table1[YL] * Table1[gas.visc]^(1-Table1[YL])</f>
        <v>0.60391584309667556</v>
      </c>
      <c r="AJ25" s="3">
        <f ca="1">0.022 * mass.rt / diam.ft / Table1[mix.visc]</f>
        <v>49991.437258105791</v>
      </c>
      <c r="AK25" s="7">
        <f ca="1">1 / (-4 * LOG(ed/3.7065-5.0452 / Table1[Re] * LOG(ed^1.1098 / 2.8257 + (7.149 / Table1[Re])^0.8981)))^2</f>
        <v>5.7355759299126882E-3</v>
      </c>
      <c r="AL25" s="5">
        <f ca="1">28.97 * gas.sg * Table1[pres] / (Table1[z] * 10.74 * (460 + Table1[temp]))</f>
        <v>2.1138254587634946</v>
      </c>
      <c r="AM25" s="5">
        <f ca="1">62.4 * liq.sg * Table1[YL]</f>
        <v>35.116975013423257</v>
      </c>
      <c r="AN25" s="5">
        <f ca="1">Table1[gas.dens] * (1 - Table1[YL])</f>
        <v>0.71027408842301065</v>
      </c>
      <c r="AO25" s="5">
        <f ca="1">Table1[liq.avgdens] + Table1[gas.avgdens]</f>
        <v>35.82724910184627</v>
      </c>
      <c r="AP25" s="5">
        <f ca="1">1 / 144 * Table1[mix.avgdens]</f>
        <v>0.24880034098504353</v>
      </c>
      <c r="AQ25" s="5">
        <f ca="1">1 / 144 * Table1[ff] * mass.rt^2 / 7.413 / 10000000000 / diam.ft^5 / Table1[mix.avgdens]</f>
        <v>6.1464003696792488E-3</v>
      </c>
      <c r="AR25">
        <f ca="1">Table1[elev.grad] + Table1[fric.grad]</f>
        <v>0.25494674135472278</v>
      </c>
    </row>
    <row r="26" spans="3:44" x14ac:dyDescent="0.25">
      <c r="C26">
        <f>ROW()-ROW(Table1[])+1</f>
        <v>7</v>
      </c>
      <c r="D26" s="3">
        <f>IF(Table1[[#This Row],[row]]=1,0,depth/(segments-1)+D25)</f>
        <v>2006.8965517241381</v>
      </c>
      <c r="E26" s="3">
        <f ca="1">IF(Table1[[#This Row],[row]]=1,0, Table1[[#This Row],[depth]]-OFFSET(Table1[[#This Row],[depth]],-1,0))</f>
        <v>334.48275862068976</v>
      </c>
      <c r="F26" s="3">
        <f ca="1">IF(Table1[[#This Row],[row]]=1,thp,OFFSET(Table1[[#This Row],[dp.dz]],-1,0)*Table1[[#This Row],[dL]]+OFFSET(Table1[[#This Row],[pres]],-1,0))</f>
        <v>657.21542274942942</v>
      </c>
      <c r="G26" s="2">
        <f>IF(Table1[[#This Row],[row]]=1,tht,tht+(bht-tht)/depth*Table1[[#This Row],[depth]])</f>
        <v>100.68965517241379</v>
      </c>
      <c r="H26" s="6">
        <f ca="1">Table1[[#This Row],[pres]]/pres.pc</f>
        <v>0.9838554232775889</v>
      </c>
      <c r="I26" s="6">
        <f>(Table1[[#This Row],[temp]]+460)/temp.pc</f>
        <v>1.4408430260893608</v>
      </c>
      <c r="J26" s="6">
        <f>1/Table1[[#This Row],[temp.pr]]</f>
        <v>0.6940381303813038</v>
      </c>
      <c r="K26" s="6">
        <f>0.06125 * Table1[temp.r] * EXP(-1.2 * (1 - Table1[temp.r])^2)</f>
        <v>3.7992936982158505E-2</v>
      </c>
      <c r="L26" s="6">
        <f>Table1[[#This Row],[temp.r]] * (14.76 - 9.76 *Table1[[#This Row],[temp.r]] + 4.58 * Table1[[#This Row],[temp.r]]^2)</f>
        <v>7.0738608897319919</v>
      </c>
      <c r="M26" s="6">
        <f xml:space="preserve"> Table1[[#This Row],[temp.r]] * (90.7 - 242.2 * Table1[[#This Row],[temp.r]] + 42.4 * Table1[[#This Row],[temp.r]]^2)</f>
        <v>-39.541035120695867</v>
      </c>
      <c r="N26" s="6">
        <f>2.18 + 2.82 * Table1[[#This Row],[temp.r]]</f>
        <v>4.1371875276752768</v>
      </c>
      <c r="O26" s="6">
        <v>4.2611417041735225E-2</v>
      </c>
      <c r="P26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4.0323563217990169E-4</v>
      </c>
      <c r="Q26" s="6">
        <f ca="1" xml:space="preserve"> Table1[A] * Table1[pres.pr] / Table1[Y]</f>
        <v>0.87721929218006001</v>
      </c>
      <c r="R26" s="6">
        <f ca="1">1 / area * gas.rt * Table1[[#This Row],[z]] * (460 + Table1[[#This Row],[temp]]) / (460 + 60) * (14.7 / Table1[[#This Row],[pres]]) / 86400</f>
        <v>0.64126937460448252</v>
      </c>
      <c r="S26" s="6">
        <f ca="1" xml:space="preserve"> vsl + Table1[[#This Row],[vsg]]</f>
        <v>2.9105700084428197</v>
      </c>
      <c r="T26" s="6">
        <f>8.188 / 1000 - 6.15 / 1000 *LOG10(gas.sg) +
  (1.709 / 100000 - 2.062 / 1000000 * gas.sg) * Table1[[#This Row],[temp]]</f>
        <v>1.071609781253301E-2</v>
      </c>
      <c r="U26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0.44112996535950855</v>
      </c>
      <c r="V26" s="6">
        <f ca="1" xml:space="preserve"> Table1[visc.base]/ Table1[temp.pr] * EXP(Table1[visc.r])</f>
        <v>1.156113067407692E-2</v>
      </c>
      <c r="W26" s="6">
        <f t="shared" si="0"/>
        <v>5.0676308466678632</v>
      </c>
      <c r="X26" s="6">
        <f ca="1">1.938 * Table1[vsg] * (62.4 * liq.sg / if.tens)^0.25</f>
        <v>1.4320343524835026</v>
      </c>
      <c r="Y26" s="6">
        <f t="shared" si="1"/>
        <v>26.681220374524791</v>
      </c>
      <c r="Z26" s="6">
        <f t="shared" si="2"/>
        <v>2.069899451158622E-2</v>
      </c>
      <c r="AA26" s="7">
        <f>10^(-2.69851 + 0.15841 * (LOG10(Table1[NL]) + 3) - 0.551 * (LOG10(Table1[NL])+3)^2 +
               0.54785*(LOG10(Table1[NL]) + 3)^3 - 0.12195 * (LOG10(Table1[NL])+3)^4)</f>
        <v>2.7449344798175105E-3</v>
      </c>
      <c r="AB26" s="10">
        <f ca="1" xml:space="preserve"> Table1[NvL] * Table1[pres]^0.1 *  Table1[CNL]/ (Table1[NvG]^0.575 * pres.atm^0.1 * Table1[ND])</f>
        <v>6.2015047255434546E-4</v>
      </c>
      <c r="AC26" s="5">
        <f ca="1">-0.10307 + 0.61777 * (LOG10(Table1[X2]) + 6) -
    0.63295 * (LOG10(Table1[X2])+6)^2 + 0.29598 * (LOG10(Table1[X2])+6)^3 -
    0.0401 * (LOG10(Table1[X2]) + 6)^4</f>
        <v>0.69308511438118758</v>
      </c>
      <c r="AD26" s="7">
        <f ca="1" xml:space="preserve"> Table1[NvG]* Table1[NL]^0.38 / Table1[ND]^2.14</f>
        <v>2.9102746374947628E-4</v>
      </c>
      <c r="AE26" s="7">
        <f ca="1">(Table1[X3]-0.012)/ABS(Table1[X3]-0.012)</f>
        <v>-1</v>
      </c>
      <c r="AF26" s="7">
        <f ca="1">(1-Table1[index])/2*0.012+(1+Table1[index])/2*Table1[X3]</f>
        <v>1.2E-2</v>
      </c>
      <c r="AG26" s="7">
        <f ca="1" xml:space="preserve"> 0.91163 - 4.82176 *
      Table1[X3.mod]+ 1232.25 * Table1[X3.mod]^2 -
      22253.6 * Table1[X3.mod]^3 + 116174 * Table1[X3.mod]^4</f>
        <v>0.99516764326399998</v>
      </c>
      <c r="AH26" s="7">
        <f ca="1">Table1[YL.psi] * Table1[psi]</f>
        <v>0.68973587986008633</v>
      </c>
      <c r="AI26" s="7">
        <f ca="1">liq.visc^Table1[YL] * Table1[gas.visc]^(1-Table1[YL])</f>
        <v>0.71264388856046657</v>
      </c>
      <c r="AJ26" s="3">
        <f ca="1">0.022 * mass.rt / diam.ft / Table1[mix.visc]</f>
        <v>42364.245963475907</v>
      </c>
      <c r="AK26" s="7">
        <f ca="1">1 / (-4 * LOG(ed/3.7065-5.0452 / Table1[Re] * LOG(ed^1.1098 / 2.8257 + (7.149 / Table1[Re])^0.8981)))^2</f>
        <v>5.8955587200137365E-3</v>
      </c>
      <c r="AL26" s="5">
        <f ca="1">28.97 * gas.sg * Table1[pres] / (Table1[z] * 10.74 * (460 + Table1[temp]))</f>
        <v>2.5230118051620347</v>
      </c>
      <c r="AM26" s="5">
        <f ca="1">62.4 * liq.sg * Table1[YL]</f>
        <v>36.47881556257714</v>
      </c>
      <c r="AN26" s="5">
        <f ca="1">Table1[gas.dens] * (1 - Table1[YL])</f>
        <v>0.78280003783121399</v>
      </c>
      <c r="AO26" s="5">
        <f ca="1">Table1[liq.avgdens] + Table1[gas.avgdens]</f>
        <v>37.261615600408355</v>
      </c>
      <c r="AP26" s="5">
        <f ca="1">1 / 144 * Table1[mix.avgdens]</f>
        <v>0.25876121944728026</v>
      </c>
      <c r="AQ26" s="5">
        <f ca="1">1 / 144 * Table1[ff] * mass.rt^2 / 7.413 / 10000000000 / diam.ft^5 / Table1[mix.avgdens]</f>
        <v>6.074640260932164E-3</v>
      </c>
      <c r="AR26">
        <f ca="1">Table1[elev.grad] + Table1[fric.grad]</f>
        <v>0.26483585970821244</v>
      </c>
    </row>
    <row r="27" spans="3:44" x14ac:dyDescent="0.25">
      <c r="C27">
        <f>ROW()-ROW(Table1[])+1</f>
        <v>8</v>
      </c>
      <c r="D27" s="3">
        <f>IF(Table1[[#This Row],[row]]=1,0,depth/(segments-1)+D26)</f>
        <v>2341.3793103448279</v>
      </c>
      <c r="E27" s="3">
        <f ca="1">IF(Table1[[#This Row],[row]]=1,0, Table1[[#This Row],[depth]]-OFFSET(Table1[[#This Row],[depth]],-1,0))</f>
        <v>334.48275862068976</v>
      </c>
      <c r="F27" s="3">
        <f ca="1">IF(Table1[[#This Row],[row]]=1,thp,OFFSET(Table1[[#This Row],[dp.dz]],-1,0)*Table1[[#This Row],[dL]]+OFFSET(Table1[[#This Row],[pres]],-1,0))</f>
        <v>745.79845168631437</v>
      </c>
      <c r="G27" s="2">
        <f>IF(Table1[[#This Row],[row]]=1,tht,tht+(bht-tht)/depth*Table1[[#This Row],[depth]])</f>
        <v>104.13793103448276</v>
      </c>
      <c r="H27" s="6">
        <f ca="1">Table1[[#This Row],[pres]]/pres.pc</f>
        <v>1.1164647480334047</v>
      </c>
      <c r="I27" s="6">
        <f>(Table1[[#This Row],[temp]]+460)/temp.pc</f>
        <v>1.4497042993125426</v>
      </c>
      <c r="J27" s="6">
        <f>1/Table1[[#This Row],[temp.pr]]</f>
        <v>0.68979584352078227</v>
      </c>
      <c r="K27" s="6">
        <f>0.06125 * Table1[temp.r] * EXP(-1.2 * (1 - Table1[temp.r])^2)</f>
        <v>3.7642446233236544E-2</v>
      </c>
      <c r="L27" s="6">
        <f>Table1[[#This Row],[temp.r]] * (14.76 - 9.76 *Table1[[#This Row],[temp.r]] + 4.58 * Table1[[#This Row],[temp.r]]^2)</f>
        <v>7.0406360885870649</v>
      </c>
      <c r="M27" s="6">
        <f xml:space="preserve"> Table1[[#This Row],[temp.r]] * (90.7 - 242.2 * Table1[[#This Row],[temp.r]] + 42.4 * Table1[[#This Row],[temp.r]]^2)</f>
        <v>-38.762289084792307</v>
      </c>
      <c r="N27" s="6">
        <f>2.18 + 2.82 * Table1[[#This Row],[temp.r]]</f>
        <v>4.1252242787286058</v>
      </c>
      <c r="O27" s="6">
        <v>4.8179844726271508E-2</v>
      </c>
      <c r="P27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1.7548540621315065E-4</v>
      </c>
      <c r="Q27" s="6">
        <f ca="1" xml:space="preserve"> Table1[A] * Table1[pres.pr] / Table1[Y]</f>
        <v>0.87228309862599518</v>
      </c>
      <c r="R27" s="6">
        <f ca="1">1 / area * gas.rt * Table1[[#This Row],[z]] * (460 + Table1[[#This Row],[temp]]) / (460 + 60) * (14.7 / Table1[[#This Row],[pres]]) / 86400</f>
        <v>0.56537787609263024</v>
      </c>
      <c r="S27" s="6">
        <f ca="1" xml:space="preserve"> vsl + Table1[[#This Row],[vsg]]</f>
        <v>2.8346785099309675</v>
      </c>
      <c r="T27" s="6">
        <f>8.188 / 1000 - 6.15 / 1000 *LOG10(gas.sg) +
  (1.709 / 100000 - 2.062 / 1000000 * gas.sg) * Table1[[#This Row],[temp]]</f>
        <v>1.0770051605636459E-2</v>
      </c>
      <c r="U27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0.47653069658765901</v>
      </c>
      <c r="V27" s="6">
        <f ca="1" xml:space="preserve"> Table1[visc.base]/ Table1[temp.pr] * EXP(Table1[visc.r])</f>
        <v>1.1964457445817778E-2</v>
      </c>
      <c r="W27" s="6">
        <f t="shared" si="0"/>
        <v>5.0676308466678632</v>
      </c>
      <c r="X27" s="6">
        <f ca="1">1.938 * Table1[vsg] * (62.4 * liq.sg / if.tens)^0.25</f>
        <v>1.2625591877020041</v>
      </c>
      <c r="Y27" s="6">
        <f t="shared" si="1"/>
        <v>26.681220374524791</v>
      </c>
      <c r="Z27" s="6">
        <f t="shared" si="2"/>
        <v>2.069899451158622E-2</v>
      </c>
      <c r="AA27" s="7">
        <f>10^(-2.69851 + 0.15841 * (LOG10(Table1[NL]) + 3) - 0.551 * (LOG10(Table1[NL])+3)^2 +
               0.54785*(LOG10(Table1[NL]) + 3)^3 - 0.12195 * (LOG10(Table1[NL])+3)^4)</f>
        <v>2.7449344798175105E-3</v>
      </c>
      <c r="AB27" s="10">
        <f ca="1" xml:space="preserve"> Table1[NvL] * Table1[pres]^0.1 *  Table1[CNL]/ (Table1[NvG]^0.575 * pres.atm^0.1 * Table1[ND])</f>
        <v>6.7521475425926653E-4</v>
      </c>
      <c r="AC27" s="5">
        <f ca="1">-0.10307 + 0.61777 * (LOG10(Table1[X2]) + 6) -
    0.63295 * (LOG10(Table1[X2])+6)^2 + 0.29598 * (LOG10(Table1[X2])+6)^3 -
    0.0401 * (LOG10(Table1[X2]) + 6)^4</f>
        <v>0.71202917383991782</v>
      </c>
      <c r="AD27" s="7">
        <f ca="1" xml:space="preserve"> Table1[NvG]* Table1[NL]^0.38 / Table1[ND]^2.14</f>
        <v>2.5658560326662707E-4</v>
      </c>
      <c r="AE27" s="7">
        <f ca="1">(Table1[X3]-0.012)/ABS(Table1[X3]-0.012)</f>
        <v>-1</v>
      </c>
      <c r="AF27" s="7">
        <f ca="1">(1-Table1[index])/2*0.012+(1+Table1[index])/2*Table1[X3]</f>
        <v>1.2E-2</v>
      </c>
      <c r="AG27" s="7">
        <f ca="1" xml:space="preserve"> 0.91163 - 4.82176 *
      Table1[X3.mod]+ 1232.25 * Table1[X3.mod]^2 -
      22253.6 * Table1[X3.mod]^3 + 116174 * Table1[X3.mod]^4</f>
        <v>0.99516764326399998</v>
      </c>
      <c r="AH27" s="7">
        <f ca="1">Table1[YL.psi] * Table1[psi]</f>
        <v>0.70858839486548397</v>
      </c>
      <c r="AI27" s="7">
        <f ca="1">liq.visc^Table1[YL] * Table1[gas.visc]^(1-Table1[YL])</f>
        <v>0.80562874953193442</v>
      </c>
      <c r="AJ27" s="3">
        <f ca="1">0.022 * mass.rt / diam.ft / Table1[mix.visc]</f>
        <v>37474.607251645495</v>
      </c>
      <c r="AK27" s="7">
        <f ca="1">1 / (-4 * LOG(ed/3.7065-5.0452 / Table1[Re] * LOG(ed^1.1098 / 2.8257 + (7.149 / Table1[Re])^0.8981)))^2</f>
        <v>6.022790794405028E-3</v>
      </c>
      <c r="AL27" s="5">
        <f ca="1">28.97 * gas.sg * Table1[pres] / (Table1[z] * 10.74 * (460 + Table1[temp]))</f>
        <v>2.8616793667230556</v>
      </c>
      <c r="AM27" s="5">
        <f ca="1">62.4 * liq.sg * Table1[YL]</f>
        <v>37.47588913501783</v>
      </c>
      <c r="AN27" s="5">
        <f ca="1">Table1[gas.dens] * (1 - Table1[YL])</f>
        <v>0.83392657763709099</v>
      </c>
      <c r="AO27" s="5">
        <f ca="1">Table1[liq.avgdens] + Table1[gas.avgdens]</f>
        <v>38.309815712654924</v>
      </c>
      <c r="AP27" s="5">
        <f ca="1">1 / 144 * Table1[mix.avgdens]</f>
        <v>0.26604038689343695</v>
      </c>
      <c r="AQ27" s="5">
        <f ca="1">1 / 144 * Table1[ff] * mass.rt^2 / 7.413 / 10000000000 / diam.ft^5 / Table1[mix.avgdens]</f>
        <v>6.0359410725150092E-3</v>
      </c>
      <c r="AR27">
        <f ca="1">Table1[elev.grad] + Table1[fric.grad]</f>
        <v>0.27207632796595194</v>
      </c>
    </row>
    <row r="28" spans="3:44" x14ac:dyDescent="0.25">
      <c r="C28">
        <f>ROW()-ROW(Table1[])+1</f>
        <v>9</v>
      </c>
      <c r="D28" s="3">
        <f>IF(Table1[[#This Row],[row]]=1,0,depth/(segments-1)+D27)</f>
        <v>2675.8620689655177</v>
      </c>
      <c r="E28" s="3">
        <f ca="1">IF(Table1[[#This Row],[row]]=1,0, Table1[[#This Row],[depth]]-OFFSET(Table1[[#This Row],[depth]],-1,0))</f>
        <v>334.48275862068976</v>
      </c>
      <c r="F28" s="3">
        <f ca="1">IF(Table1[[#This Row],[row]]=1,thp,OFFSET(Table1[[#This Row],[dp.dz]],-1,0)*Table1[[#This Row],[dL]]+OFFSET(Table1[[#This Row],[pres]],-1,0))</f>
        <v>836.80329241975346</v>
      </c>
      <c r="G28" s="2">
        <f>IF(Table1[[#This Row],[row]]=1,tht,tht+(bht-tht)/depth*Table1[[#This Row],[depth]])</f>
        <v>107.58620689655173</v>
      </c>
      <c r="H28" s="6">
        <f ca="1">Table1[[#This Row],[pres]]/pres.pc</f>
        <v>1.2526995395505292</v>
      </c>
      <c r="I28" s="6">
        <f>(Table1[[#This Row],[temp]]+460)/temp.pc</f>
        <v>1.4585655725357243</v>
      </c>
      <c r="J28" s="6">
        <f>1/Table1[[#This Row],[temp.pr]]</f>
        <v>0.68560510328068036</v>
      </c>
      <c r="K28" s="6">
        <f>0.06125 * Table1[temp.r] * EXP(-1.2 * (1 - Table1[temp.r])^2)</f>
        <v>3.7296422104728139E-2</v>
      </c>
      <c r="L28" s="6">
        <f>Table1[[#This Row],[temp.r]] * (14.76 - 9.76 *Table1[[#This Row],[temp.r]] + 4.58 * Table1[[#This Row],[temp.r]]^2)</f>
        <v>7.0078050260178308</v>
      </c>
      <c r="M28" s="6">
        <f xml:space="preserve"> Table1[[#This Row],[temp.r]] * (90.7 - 242.2 * Table1[[#This Row],[temp.r]] + 42.4 * Table1[[#This Row],[temp.r]]^2)</f>
        <v>-37.998463897718231</v>
      </c>
      <c r="N28" s="6">
        <f>2.18 + 2.82 * Table1[[#This Row],[temp.r]]</f>
        <v>4.1134063912515186</v>
      </c>
      <c r="O28" s="6">
        <v>5.3770039785030407E-2</v>
      </c>
      <c r="P28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-1.5670273924396283E-4</v>
      </c>
      <c r="Q28" s="6">
        <f ca="1" xml:space="preserve"> Table1[A] * Table1[pres.pr] / Table1[Y]</f>
        <v>0.86890787107958056</v>
      </c>
      <c r="R28" s="6">
        <f ca="1">1 / area * gas.rt * Table1[[#This Row],[z]] * (460 + Table1[[#This Row],[temp]]) / (460 + 60) * (14.7 / Table1[[#This Row],[pres]]) / 86400</f>
        <v>0.50500969122700912</v>
      </c>
      <c r="S28" s="6">
        <f ca="1" xml:space="preserve"> vsl + Table1[[#This Row],[vsg]]</f>
        <v>2.7743103250653465</v>
      </c>
      <c r="T28" s="6">
        <f>8.188 / 1000 - 6.15 / 1000 *LOG10(gas.sg) +
  (1.709 / 100000 - 2.062 / 1000000 * gas.sg) * Table1[[#This Row],[temp]]</f>
        <v>1.0824005398739907E-2</v>
      </c>
      <c r="U28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0.5110850577305317</v>
      </c>
      <c r="V28" s="6">
        <f ca="1" xml:space="preserve"> Table1[visc.base]/ Table1[temp.pr] * EXP(Table1[visc.r])</f>
        <v>1.2371531411327977E-2</v>
      </c>
      <c r="W28" s="6">
        <f t="shared" si="0"/>
        <v>5.0676308466678632</v>
      </c>
      <c r="X28" s="6">
        <f ca="1">1.938 * Table1[vsg] * (62.4 * liq.sg / if.tens)^0.25</f>
        <v>1.127749514968196</v>
      </c>
      <c r="Y28" s="6">
        <f t="shared" si="1"/>
        <v>26.681220374524791</v>
      </c>
      <c r="Z28" s="6">
        <f t="shared" si="2"/>
        <v>2.069899451158622E-2</v>
      </c>
      <c r="AA28" s="7">
        <f>10^(-2.69851 + 0.15841 * (LOG10(Table1[NL]) + 3) - 0.551 * (LOG10(Table1[NL])+3)^2 +
               0.54785*(LOG10(Table1[NL]) + 3)^3 - 0.12195 * (LOG10(Table1[NL])+3)^4)</f>
        <v>2.7449344798175105E-3</v>
      </c>
      <c r="AB28" s="10">
        <f ca="1" xml:space="preserve"> Table1[NvL] * Table1[pres]^0.1 *  Table1[CNL]/ (Table1[NvG]^0.575 * pres.atm^0.1 * Table1[ND])</f>
        <v>7.2885241145042429E-4</v>
      </c>
      <c r="AC28" s="5">
        <f ca="1">-0.10307 + 0.61777 * (LOG10(Table1[X2]) + 6) -
    0.63295 * (LOG10(Table1[X2])+6)^2 + 0.29598 * (LOG10(Table1[X2])+6)^3 -
    0.0401 * (LOG10(Table1[X2]) + 6)^4</f>
        <v>0.72894419564895552</v>
      </c>
      <c r="AD28" s="7">
        <f ca="1" xml:space="preserve"> Table1[NvG]* Table1[NL]^0.38 / Table1[ND]^2.14</f>
        <v>2.2918869265720158E-4</v>
      </c>
      <c r="AE28" s="7">
        <f ca="1">(Table1[X3]-0.012)/ABS(Table1[X3]-0.012)</f>
        <v>-1</v>
      </c>
      <c r="AF28" s="7">
        <f ca="1">(1-Table1[index])/2*0.012+(1+Table1[index])/2*Table1[X3]</f>
        <v>1.2E-2</v>
      </c>
      <c r="AG28" s="7">
        <f ca="1" xml:space="preserve"> 0.91163 - 4.82176 *
      Table1[X3.mod]+ 1232.25 * Table1[X3.mod]^2 -
      22253.6 * Table1[X3.mod]^3 + 116174 * Table1[X3.mod]^4</f>
        <v>0.99516764326399998</v>
      </c>
      <c r="AH28" s="7">
        <f ca="1">Table1[YL.psi] * Table1[psi]</f>
        <v>0.72542167725494322</v>
      </c>
      <c r="AI28" s="7">
        <f ca="1">liq.visc^Table1[YL] * Table1[gas.visc]^(1-Table1[YL])</f>
        <v>0.89857962057427843</v>
      </c>
      <c r="AJ28" s="3">
        <f ca="1">0.022 * mass.rt / diam.ft / Table1[mix.visc]</f>
        <v>33598.159014611105</v>
      </c>
      <c r="AK28" s="7">
        <f ca="1">1 / (-4 * LOG(ed/3.7065-5.0452 / Table1[Re] * LOG(ed^1.1098 / 2.8257 + (7.149 / Table1[Re])^0.8981)))^2</f>
        <v>6.1425687516561819E-3</v>
      </c>
      <c r="AL28" s="5">
        <f ca="1">28.97 * gas.sg * Table1[pres] / (Table1[z] * 10.74 * (460 + Table1[temp]))</f>
        <v>3.2037607010767268</v>
      </c>
      <c r="AM28" s="5">
        <f ca="1">62.4 * liq.sg * Table1[YL]</f>
        <v>38.366169344483552</v>
      </c>
      <c r="AN28" s="5">
        <f ca="1">Table1[gas.dens] * (1 - Table1[YL])</f>
        <v>0.87968323977817486</v>
      </c>
      <c r="AO28" s="5">
        <f ca="1">Table1[liq.avgdens] + Table1[gas.avgdens]</f>
        <v>39.245852584261726</v>
      </c>
      <c r="AP28" s="5">
        <f ca="1">1 / 144 * Table1[mix.avgdens]</f>
        <v>0.27254064294626196</v>
      </c>
      <c r="AQ28" s="5">
        <f ca="1">1 / 144 * Table1[ff] * mass.rt^2 / 7.413 / 10000000000 / diam.ft^5 / Table1[mix.avgdens]</f>
        <v>6.0091567662359105E-3</v>
      </c>
      <c r="AR28">
        <f ca="1">Table1[elev.grad] + Table1[fric.grad]</f>
        <v>0.27854979971249788</v>
      </c>
    </row>
    <row r="29" spans="3:44" x14ac:dyDescent="0.25">
      <c r="C29">
        <f>ROW()-ROW(Table1[])+1</f>
        <v>10</v>
      </c>
      <c r="D29" s="3">
        <f>IF(Table1[[#This Row],[row]]=1,0,depth/(segments-1)+D28)</f>
        <v>3010.3448275862074</v>
      </c>
      <c r="E29" s="3">
        <f ca="1">IF(Table1[[#This Row],[row]]=1,0, Table1[[#This Row],[depth]]-OFFSET(Table1[[#This Row],[depth]],-1,0))</f>
        <v>334.48275862068976</v>
      </c>
      <c r="F29" s="3">
        <f ca="1">IF(Table1[[#This Row],[row]]=1,thp,OFFSET(Table1[[#This Row],[dp.dz]],-1,0)*Table1[[#This Row],[dL]]+OFFSET(Table1[[#This Row],[pres]],-1,0))</f>
        <v>929.97339784083033</v>
      </c>
      <c r="G29" s="2">
        <f>IF(Table1[[#This Row],[row]]=1,tht,tht+(bht-tht)/depth*Table1[[#This Row],[depth]])</f>
        <v>111.0344827586207</v>
      </c>
      <c r="H29" s="6">
        <f ca="1">Table1[[#This Row],[pres]]/pres.pc</f>
        <v>1.392175745270704</v>
      </c>
      <c r="I29" s="6">
        <f>(Table1[[#This Row],[temp]]+460)/temp.pc</f>
        <v>1.4674268457589061</v>
      </c>
      <c r="J29" s="6">
        <f>1/Table1[[#This Row],[temp.pr]]</f>
        <v>0.68146497584541055</v>
      </c>
      <c r="K29" s="6">
        <f>0.06125 * Table1[temp.r] * EXP(-1.2 * (1 - Table1[temp.r])^2)</f>
        <v>3.6954815127259746E-2</v>
      </c>
      <c r="L29" s="6">
        <f>Table1[[#This Row],[temp.r]] * (14.76 - 9.76 *Table1[[#This Row],[temp.r]] + 4.58 * Table1[[#This Row],[temp.r]]^2)</f>
        <v>6.9753587623561604</v>
      </c>
      <c r="M29" s="6">
        <f xml:space="preserve"> Table1[[#This Row],[temp.r]] * (90.7 - 242.2 * Table1[[#This Row],[temp.r]] + 42.4 * Table1[[#This Row],[temp.r]]^2)</f>
        <v>-37.249209351489519</v>
      </c>
      <c r="N29" s="6">
        <f>2.18 + 2.82 * Table1[[#This Row],[temp.r]]</f>
        <v>4.1017312318840577</v>
      </c>
      <c r="O29" s="6">
        <v>6.1075003503956969E-2</v>
      </c>
      <c r="P29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6.9356438416557763E-4</v>
      </c>
      <c r="Q29" s="6">
        <f ca="1" xml:space="preserve"> Table1[A] * Table1[pres.pr] / Table1[Y]</f>
        <v>0.84236748816233298</v>
      </c>
      <c r="R29" s="6">
        <f ca="1">1 / area * gas.rt * Table1[[#This Row],[z]] * (460 + Table1[[#This Row],[temp]]) / (460 + 60) * (14.7 / Table1[[#This Row],[pres]]) / 86400</f>
        <v>0.44321141156659394</v>
      </c>
      <c r="S29" s="6">
        <f ca="1" xml:space="preserve"> vsl + Table1[[#This Row],[vsg]]</f>
        <v>2.7125120454049312</v>
      </c>
      <c r="T29" s="6">
        <f>8.188 / 1000 - 6.15 / 1000 *LOG10(gas.sg) +
  (1.709 / 100000 - 2.062 / 1000000 * gas.sg) * Table1[[#This Row],[temp]]</f>
        <v>1.0877959191843355E-2</v>
      </c>
      <c r="U29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0.54470351596658961</v>
      </c>
      <c r="V29" s="6">
        <f ca="1" xml:space="preserve"> Table1[visc.base]/ Table1[temp.pr] * EXP(Table1[visc.r])</f>
        <v>1.2780642781945651E-2</v>
      </c>
      <c r="W29" s="6">
        <f t="shared" si="0"/>
        <v>5.0676308466678632</v>
      </c>
      <c r="X29" s="6">
        <f ca="1">1.938 * Table1[vsg] * (62.4 * liq.sg / if.tens)^0.25</f>
        <v>0.98974626250868192</v>
      </c>
      <c r="Y29" s="6">
        <f t="shared" si="1"/>
        <v>26.681220374524791</v>
      </c>
      <c r="Z29" s="6">
        <f t="shared" si="2"/>
        <v>2.069899451158622E-2</v>
      </c>
      <c r="AA29" s="7">
        <f>10^(-2.69851 + 0.15841 * (LOG10(Table1[NL]) + 3) - 0.551 * (LOG10(Table1[NL])+3)^2 +
               0.54785*(LOG10(Table1[NL]) + 3)^3 - 0.12195 * (LOG10(Table1[NL])+3)^4)</f>
        <v>2.7449344798175105E-3</v>
      </c>
      <c r="AB29" s="10">
        <f ca="1" xml:space="preserve"> Table1[NvL] * Table1[pres]^0.1 *  Table1[CNL]/ (Table1[NvG]^0.575 * pres.atm^0.1 * Table1[ND])</f>
        <v>7.9399973450206788E-4</v>
      </c>
      <c r="AC29" s="5">
        <f ca="1">-0.10307 + 0.61777 * (LOG10(Table1[X2]) + 6) -
    0.63295 * (LOG10(Table1[X2])+6)^2 + 0.29598 * (LOG10(Table1[X2])+6)^3 -
    0.0401 * (LOG10(Table1[X2]) + 6)^4</f>
        <v>0.74772268361490468</v>
      </c>
      <c r="AD29" s="7">
        <f ca="1" xml:space="preserve"> Table1[NvG]* Table1[NL]^0.38 / Table1[ND]^2.14</f>
        <v>2.011427617178921E-4</v>
      </c>
      <c r="AE29" s="7">
        <f ca="1">(Table1[X3]-0.012)/ABS(Table1[X3]-0.012)</f>
        <v>-1</v>
      </c>
      <c r="AF29" s="7">
        <f ca="1">(1-Table1[index])/2*0.012+(1+Table1[index])/2*Table1[X3]</f>
        <v>1.2E-2</v>
      </c>
      <c r="AG29" s="7">
        <f ca="1" xml:space="preserve"> 0.91163 - 4.82176 *
      Table1[X3.mod]+ 1232.25 * Table1[X3.mod]^2 -
      22253.6 * Table1[X3.mod]^3 + 116174 * Table1[X3.mod]^4</f>
        <v>0.99516764326399998</v>
      </c>
      <c r="AH29" s="7">
        <f ca="1">Table1[YL.psi] * Table1[psi]</f>
        <v>0.74410942086807819</v>
      </c>
      <c r="AI29" s="7">
        <f ca="1">liq.visc^Table1[YL] * Table1[gas.visc]^(1-Table1[YL])</f>
        <v>1.0118523676780768</v>
      </c>
      <c r="AJ29" s="3">
        <f ca="1">0.022 * mass.rt / diam.ft / Table1[mix.visc]</f>
        <v>29836.982097124208</v>
      </c>
      <c r="AK29" s="7">
        <f ca="1">1 / (-4 * LOG(ed/3.7065-5.0452 / Table1[Re] * LOG(ed^1.1098 / 2.8257 + (7.149 / Table1[Re])^0.8981)))^2</f>
        <v>6.2800022114905393E-3</v>
      </c>
      <c r="AL29" s="5">
        <f ca="1">28.97 * gas.sg * Table1[pres] / (Table1[z] * 10.74 * (460 + Table1[temp]))</f>
        <v>3.6504705433851061</v>
      </c>
      <c r="AM29" s="5">
        <f ca="1">62.4 * liq.sg * Table1[YL]</f>
        <v>39.354528472157995</v>
      </c>
      <c r="AN29" s="5">
        <f ca="1">Table1[gas.dens] * (1 - Table1[YL])</f>
        <v>0.93412102145083609</v>
      </c>
      <c r="AO29" s="5">
        <f ca="1">Table1[liq.avgdens] + Table1[gas.avgdens]</f>
        <v>40.28864949360883</v>
      </c>
      <c r="AP29" s="5">
        <f ca="1">1 / 144 * Table1[mix.avgdens]</f>
        <v>0.27978228815006129</v>
      </c>
      <c r="AQ29" s="5">
        <f ca="1">1 / 144 * Table1[ff] * mass.rt^2 / 7.413 / 10000000000 / diam.ft^5 / Table1[mix.avgdens]</f>
        <v>5.984589455498639E-3</v>
      </c>
      <c r="AR29">
        <f ca="1">Table1[elev.grad] + Table1[fric.grad]</f>
        <v>0.28576687760555991</v>
      </c>
    </row>
    <row r="30" spans="3:44" x14ac:dyDescent="0.25">
      <c r="C30">
        <f>ROW()-ROW(Table1[])+1</f>
        <v>11</v>
      </c>
      <c r="D30" s="3">
        <f>IF(Table1[[#This Row],[row]]=1,0,depth/(segments-1)+D29)</f>
        <v>3344.8275862068972</v>
      </c>
      <c r="E30" s="3">
        <f ca="1">IF(Table1[[#This Row],[row]]=1,0, Table1[[#This Row],[depth]]-OFFSET(Table1[[#This Row],[depth]],-1,0))</f>
        <v>334.48275862068976</v>
      </c>
      <c r="F30" s="3">
        <f ca="1">IF(Table1[[#This Row],[row]]=1,thp,OFFSET(Table1[[#This Row],[dp.dz]],-1,0)*Table1[[#This Row],[dL]]+OFFSET(Table1[[#This Row],[pres]],-1,0))</f>
        <v>1025.557491384759</v>
      </c>
      <c r="G30" s="2">
        <f>IF(Table1[[#This Row],[row]]=1,tht,tht+(bht-tht)/depth*Table1[[#This Row],[depth]])</f>
        <v>114.48275862068965</v>
      </c>
      <c r="H30" s="6">
        <f ca="1">Table1[[#This Row],[pres]]/pres.pc</f>
        <v>1.535265705665807</v>
      </c>
      <c r="I30" s="6">
        <f>(Table1[[#This Row],[temp]]+460)/temp.pc</f>
        <v>1.4762881189820878</v>
      </c>
      <c r="J30" s="6">
        <f>1/Table1[[#This Row],[temp.pr]]</f>
        <v>0.67737454981992795</v>
      </c>
      <c r="K30" s="6">
        <f>0.06125 * Table1[temp.r] * EXP(-1.2 * (1 - Table1[temp.r])^2)</f>
        <v>3.6617575219698467E-2</v>
      </c>
      <c r="L30" s="6">
        <f>Table1[[#This Row],[temp.r]] * (14.76 - 9.76 *Table1[[#This Row],[temp.r]] + 4.58 * Table1[[#This Row],[temp.r]]^2)</f>
        <v>6.94328866280624</v>
      </c>
      <c r="M30" s="6">
        <f xml:space="preserve"> Table1[[#This Row],[temp.r]] * (90.7 - 242.2 * Table1[[#This Row],[temp.r]] + 42.4 * Table1[[#This Row],[temp.r]]^2)</f>
        <v>-36.514185117211248</v>
      </c>
      <c r="N30" s="6">
        <f>2.18 + 2.82 * Table1[[#This Row],[temp.r]]</f>
        <v>4.0901962304921966</v>
      </c>
      <c r="O30" s="6">
        <v>6.7463478240248245E-2</v>
      </c>
      <c r="P30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7.434438422373776E-4</v>
      </c>
      <c r="Q30" s="6">
        <f ca="1" xml:space="preserve"> Table1[A] * Table1[pres.pr] / Table1[Y]</f>
        <v>0.83330579634866853</v>
      </c>
      <c r="R30" s="6">
        <f ca="1">1 / area * gas.rt * Table1[[#This Row],[z]] * (460 + Table1[[#This Row],[temp]]) / (460 + 60) * (14.7 / Table1[[#This Row],[pres]]) / 86400</f>
        <v>0.39998059202921399</v>
      </c>
      <c r="S30" s="6">
        <f ca="1" xml:space="preserve"> vsl + Table1[[#This Row],[vsg]]</f>
        <v>2.6692812258675511</v>
      </c>
      <c r="T30" s="6">
        <f>8.188 / 1000 - 6.15 / 1000 *LOG10(gas.sg) +
  (1.709 / 100000 - 2.062 / 1000000 * gas.sg) * Table1[[#This Row],[temp]]</f>
        <v>1.0931912984946803E-2</v>
      </c>
      <c r="U30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0.57747022991790575</v>
      </c>
      <c r="V30" s="6">
        <f ca="1" xml:space="preserve"> Table1[visc.base]/ Table1[temp.pr] * EXP(Table1[visc.r])</f>
        <v>1.3192198453221322E-2</v>
      </c>
      <c r="W30" s="6">
        <f t="shared" si="0"/>
        <v>5.0676308466678632</v>
      </c>
      <c r="X30" s="6">
        <f ca="1">1.938 * Table1[vsg] * (62.4 * liq.sg / if.tens)^0.25</f>
        <v>0.89320646018032934</v>
      </c>
      <c r="Y30" s="6">
        <f t="shared" si="1"/>
        <v>26.681220374524791</v>
      </c>
      <c r="Z30" s="6">
        <f t="shared" si="2"/>
        <v>2.069899451158622E-2</v>
      </c>
      <c r="AA30" s="7">
        <f>10^(-2.69851 + 0.15841 * (LOG10(Table1[NL]) + 3) - 0.551 * (LOG10(Table1[NL])+3)^2 +
               0.54785*(LOG10(Table1[NL]) + 3)^3 - 0.12195 * (LOG10(Table1[NL])+3)^4)</f>
        <v>2.7449344798175105E-3</v>
      </c>
      <c r="AB30" s="10">
        <f ca="1" xml:space="preserve"> Table1[NvL] * Table1[pres]^0.1 *  Table1[CNL]/ (Table1[NvG]^0.575 * pres.atm^0.1 * Table1[ND])</f>
        <v>8.5054679884162044E-4</v>
      </c>
      <c r="AC30" s="5">
        <f ca="1">-0.10307 + 0.61777 * (LOG10(Table1[X2]) + 6) -
    0.63295 * (LOG10(Table1[X2])+6)^2 + 0.29598 * (LOG10(Table1[X2])+6)^3 -
    0.0401 * (LOG10(Table1[X2]) + 6)^4</f>
        <v>0.76265230563603659</v>
      </c>
      <c r="AD30" s="7">
        <f ca="1" xml:space="preserve"> Table1[NvG]* Table1[NL]^0.38 / Table1[ND]^2.14</f>
        <v>1.8152330651853094E-4</v>
      </c>
      <c r="AE30" s="7">
        <f ca="1">(Table1[X3]-0.012)/ABS(Table1[X3]-0.012)</f>
        <v>-1</v>
      </c>
      <c r="AF30" s="7">
        <f ca="1">(1-Table1[index])/2*0.012+(1+Table1[index])/2*Table1[X3]</f>
        <v>1.2E-2</v>
      </c>
      <c r="AG30" s="7">
        <f ca="1" xml:space="preserve"> 0.91163 - 4.82176 *
      Table1[X3.mod]+ 1232.25 * Table1[X3.mod]^2 -
      22253.6 * Table1[X3.mod]^3 + 116174 * Table1[X3.mod]^4</f>
        <v>0.99516764326399998</v>
      </c>
      <c r="AH30" s="7">
        <f ca="1">Table1[YL.psi] * Table1[psi]</f>
        <v>0.75896689762967029</v>
      </c>
      <c r="AI30" s="7">
        <f ca="1">liq.visc^Table1[YL] * Table1[gas.visc]^(1-Table1[YL])</f>
        <v>1.1126103247127672</v>
      </c>
      <c r="AJ30" s="3">
        <f ca="1">0.022 * mass.rt / diam.ft / Table1[mix.visc]</f>
        <v>27134.945909420323</v>
      </c>
      <c r="AK30" s="7">
        <f ca="1">1 / (-4 * LOG(ed/3.7065-5.0452 / Table1[Re] * LOG(ed^1.1098 / 2.8257 + (7.149 / Table1[Re])^0.8981)))^2</f>
        <v>6.3954712372517753E-3</v>
      </c>
      <c r="AL30" s="5">
        <f ca="1">28.97 * gas.sg * Table1[pres] / (Table1[z] * 10.74 * (460 + Table1[temp]))</f>
        <v>4.0450217702008233</v>
      </c>
      <c r="AM30" s="5">
        <f ca="1">62.4 * liq.sg * Table1[YL]</f>
        <v>40.140312089245356</v>
      </c>
      <c r="AN30" s="5">
        <f ca="1">Table1[gas.dens] * (1 - Table1[YL])</f>
        <v>0.97498414642702735</v>
      </c>
      <c r="AO30" s="5">
        <f ca="1">Table1[liq.avgdens] + Table1[gas.avgdens]</f>
        <v>41.115296235672382</v>
      </c>
      <c r="AP30" s="5">
        <f ca="1">1 / 144 * Table1[mix.avgdens]</f>
        <v>0.28552289052550262</v>
      </c>
      <c r="AQ30" s="5">
        <f ca="1">1 / 144 * Table1[ff] * mass.rt^2 / 7.413 / 10000000000 / diam.ft^5 / Table1[mix.avgdens]</f>
        <v>5.9720908051669143E-3</v>
      </c>
      <c r="AR30">
        <f ca="1">Table1[elev.grad] + Table1[fric.grad]</f>
        <v>0.29149498133066953</v>
      </c>
    </row>
    <row r="31" spans="3:44" x14ac:dyDescent="0.25">
      <c r="C31">
        <f>ROW()-ROW(Table1[])+1</f>
        <v>12</v>
      </c>
      <c r="D31" s="3">
        <f>IF(Table1[[#This Row],[row]]=1,0,depth/(segments-1)+D30)</f>
        <v>3679.310344827587</v>
      </c>
      <c r="E31" s="3">
        <f ca="1">IF(Table1[[#This Row],[row]]=1,0, Table1[[#This Row],[depth]]-OFFSET(Table1[[#This Row],[depth]],-1,0))</f>
        <v>334.48275862068976</v>
      </c>
      <c r="F31" s="3">
        <f ca="1">IF(Table1[[#This Row],[row]]=1,thp,OFFSET(Table1[[#This Row],[dp.dz]],-1,0)*Table1[[#This Row],[dL]]+OFFSET(Table1[[#This Row],[pres]],-1,0))</f>
        <v>1123.0575368643279</v>
      </c>
      <c r="G31" s="2">
        <f>IF(Table1[[#This Row],[row]]=1,tht,tht+(bht-tht)/depth*Table1[[#This Row],[depth]])</f>
        <v>117.93103448275863</v>
      </c>
      <c r="H31" s="6">
        <f ca="1">Table1[[#This Row],[pres]]/pres.pc</f>
        <v>1.6812238575813292</v>
      </c>
      <c r="I31" s="6">
        <f>(Table1[[#This Row],[temp]]+460)/temp.pc</f>
        <v>1.4851493922052696</v>
      </c>
      <c r="J31" s="6">
        <f>1/Table1[[#This Row],[temp.pr]]</f>
        <v>0.67333293556085916</v>
      </c>
      <c r="K31" s="6">
        <f>0.06125 * Table1[temp.r] * EXP(-1.2 * (1 - Table1[temp.r])^2)</f>
        <v>3.6284651792712667E-2</v>
      </c>
      <c r="L31" s="6">
        <f>Table1[[#This Row],[temp.r]] * (14.76 - 9.76 *Table1[[#This Row],[temp.r]] + 4.58 * Table1[[#This Row],[temp.r]]^2)</f>
        <v>6.9115863842845471</v>
      </c>
      <c r="M31" s="6">
        <f xml:space="preserve"> Table1[[#This Row],[temp.r]] * (90.7 - 242.2 * Table1[[#This Row],[temp.r]] + 42.4 * Table1[[#This Row],[temp.r]]^2)</f>
        <v>-35.793060419598696</v>
      </c>
      <c r="N31" s="6">
        <f>2.18 + 2.82 * Table1[[#This Row],[temp.r]]</f>
        <v>4.0787988782816225</v>
      </c>
      <c r="O31" s="6">
        <v>7.3923413498393875E-2</v>
      </c>
      <c r="P31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7.8564835653697639E-4</v>
      </c>
      <c r="Q31" s="6">
        <f ca="1" xml:space="preserve"> Table1[A] * Table1[pres.pr] / Table1[Y]</f>
        <v>0.82521381753110035</v>
      </c>
      <c r="R31" s="6">
        <f ca="1">1 / area * gas.rt * Table1[[#This Row],[z]] * (460 + Table1[[#This Row],[temp]]) / (460 + 60) * (14.7 / Table1[[#This Row],[pres]]) / 86400</f>
        <v>0.36387986863379862</v>
      </c>
      <c r="S31" s="6">
        <f ca="1" xml:space="preserve"> vsl + Table1[[#This Row],[vsg]]</f>
        <v>2.6331805024721358</v>
      </c>
      <c r="T31" s="6">
        <f>8.188 / 1000 - 6.15 / 1000 *LOG10(gas.sg) +
  (1.709 / 100000 - 2.062 / 1000000 * gas.sg) * Table1[[#This Row],[temp]]</f>
        <v>1.0985866778050251E-2</v>
      </c>
      <c r="U31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0.60923502703779486</v>
      </c>
      <c r="V31" s="6">
        <f ca="1" xml:space="preserve"> Table1[visc.base]/ Table1[temp.pr] * EXP(Table1[visc.r])</f>
        <v>1.3603529312644405E-2</v>
      </c>
      <c r="W31" s="6">
        <f t="shared" si="0"/>
        <v>5.0676308466678632</v>
      </c>
      <c r="X31" s="6">
        <f ca="1">1.938 * Table1[vsg] * (62.4 * liq.sg / if.tens)^0.25</f>
        <v>0.81258905024456685</v>
      </c>
      <c r="Y31" s="6">
        <f t="shared" si="1"/>
        <v>26.681220374524791</v>
      </c>
      <c r="Z31" s="6">
        <f t="shared" si="2"/>
        <v>2.069899451158622E-2</v>
      </c>
      <c r="AA31" s="7">
        <f>10^(-2.69851 + 0.15841 * (LOG10(Table1[NL]) + 3) - 0.551 * (LOG10(Table1[NL])+3)^2 +
               0.54785*(LOG10(Table1[NL]) + 3)^3 - 0.12195 * (LOG10(Table1[NL])+3)^4)</f>
        <v>2.7449344798175105E-3</v>
      </c>
      <c r="AB31" s="10">
        <f ca="1" xml:space="preserve"> Table1[NvL] * Table1[pres]^0.1 *  Table1[CNL]/ (Table1[NvG]^0.575 * pres.atm^0.1 * Table1[ND])</f>
        <v>9.062831916948563E-4</v>
      </c>
      <c r="AC31" s="5">
        <f ca="1">-0.10307 + 0.61777 * (LOG10(Table1[X2]) + 6) -
    0.63295 * (LOG10(Table1[X2])+6)^2 + 0.29598 * (LOG10(Table1[X2])+6)^3 -
    0.0401 * (LOG10(Table1[X2]) + 6)^4</f>
        <v>0.77627410808036723</v>
      </c>
      <c r="AD31" s="7">
        <f ca="1" xml:space="preserve"> Table1[NvG]* Table1[NL]^0.38 / Table1[ND]^2.14</f>
        <v>1.6513970489125986E-4</v>
      </c>
      <c r="AE31" s="7">
        <f ca="1">(Table1[X3]-0.012)/ABS(Table1[X3]-0.012)</f>
        <v>-1</v>
      </c>
      <c r="AF31" s="7">
        <f ca="1">(1-Table1[index])/2*0.012+(1+Table1[index])/2*Table1[X3]</f>
        <v>1.2E-2</v>
      </c>
      <c r="AG31" s="7">
        <f ca="1" xml:space="preserve"> 0.91163 - 4.82176 *
      Table1[X3.mod]+ 1232.25 * Table1[X3.mod]^2 -
      22253.6 * Table1[X3.mod]^3 + 116174 * Table1[X3.mod]^4</f>
        <v>0.99516764326399998</v>
      </c>
      <c r="AH31" s="7">
        <f ca="1">Table1[YL.psi] * Table1[psi]</f>
        <v>0.77252287466520264</v>
      </c>
      <c r="AI31" s="7">
        <f ca="1">liq.visc^Table1[YL] * Table1[gas.visc]^(1-Table1[YL])</f>
        <v>1.2127667626076357</v>
      </c>
      <c r="AJ31" s="3">
        <f ca="1">0.022 * mass.rt / diam.ft / Table1[mix.visc]</f>
        <v>24894.004280286365</v>
      </c>
      <c r="AK31" s="7">
        <f ca="1">1 / (-4 * LOG(ed/3.7065-5.0452 / Table1[Re] * LOG(ed^1.1098 / 2.8257 + (7.149 / Table1[Re])^0.8981)))^2</f>
        <v>6.5047559525881838E-3</v>
      </c>
      <c r="AL31" s="5">
        <f ca="1">28.97 * gas.sg * Table1[pres] / (Table1[z] * 10.74 * (460 + Table1[temp]))</f>
        <v>4.4463306213959228</v>
      </c>
      <c r="AM31" s="5">
        <f ca="1">62.4 * liq.sg * Table1[YL]</f>
        <v>40.857261867398158</v>
      </c>
      <c r="AN31" s="5">
        <f ca="1">Table1[gas.dens] * (1 - Table1[YL])</f>
        <v>1.0114385080432278</v>
      </c>
      <c r="AO31" s="5">
        <f ca="1">Table1[liq.avgdens] + Table1[gas.avgdens]</f>
        <v>41.868700375441385</v>
      </c>
      <c r="AP31" s="5">
        <f ca="1">1 / 144 * Table1[mix.avgdens]</f>
        <v>0.29075486371834292</v>
      </c>
      <c r="AQ31" s="5">
        <f ca="1">1 / 144 * Table1[ff] * mass.rt^2 / 7.413 / 10000000000 / diam.ft^5 / Table1[mix.avgdens]</f>
        <v>5.9648400580485069E-3</v>
      </c>
      <c r="AR31">
        <f ca="1">Table1[elev.grad] + Table1[fric.grad]</f>
        <v>0.2967197037763914</v>
      </c>
    </row>
    <row r="32" spans="3:44" x14ac:dyDescent="0.25">
      <c r="C32">
        <f>ROW()-ROW(Table1[])+1</f>
        <v>13</v>
      </c>
      <c r="D32" s="3">
        <f>IF(Table1[[#This Row],[row]]=1,0,depth/(segments-1)+D31)</f>
        <v>4013.7931034482767</v>
      </c>
      <c r="E32" s="3">
        <f ca="1">IF(Table1[[#This Row],[row]]=1,0, Table1[[#This Row],[depth]]-OFFSET(Table1[[#This Row],[depth]],-1,0))</f>
        <v>334.48275862068976</v>
      </c>
      <c r="F32" s="3">
        <f ca="1">IF(Table1[[#This Row],[row]]=1,thp,OFFSET(Table1[[#This Row],[dp.dz]],-1,0)*Table1[[#This Row],[dL]]+OFFSET(Table1[[#This Row],[pres]],-1,0))</f>
        <v>1222.3051619205692</v>
      </c>
      <c r="G32" s="2">
        <f>IF(Table1[[#This Row],[row]]=1,tht,tht+(bht-tht)/depth*Table1[[#This Row],[depth]])</f>
        <v>121.37931034482759</v>
      </c>
      <c r="H32" s="6">
        <f ca="1">Table1[[#This Row],[pres]]/pres.pc</f>
        <v>1.8297981465876785</v>
      </c>
      <c r="I32" s="6">
        <f>(Table1[[#This Row],[temp]]+460)/temp.pc</f>
        <v>1.4940106654284515</v>
      </c>
      <c r="J32" s="6">
        <f>1/Table1[[#This Row],[temp.pr]]</f>
        <v>0.66933926453143533</v>
      </c>
      <c r="K32" s="6">
        <f>0.06125 * Table1[temp.r] * EXP(-1.2 * (1 - Table1[temp.r])^2)</f>
        <v>3.5955993844721888E-2</v>
      </c>
      <c r="L32" s="6">
        <f>Table1[[#This Row],[temp.r]] * (14.76 - 9.76 *Table1[[#This Row],[temp.r]] + 4.58 * Table1[[#This Row],[temp.r]]^2)</f>
        <v>6.8802438629208122</v>
      </c>
      <c r="M32" s="6">
        <f xml:space="preserve"> Table1[[#This Row],[temp.r]] * (90.7 - 242.2 * Table1[[#This Row],[temp.r]] + 42.4 * Table1[[#This Row],[temp.r]]^2)</f>
        <v>-35.085513723717305</v>
      </c>
      <c r="N32" s="6">
        <f>2.18 + 2.82 * Table1[[#This Row],[temp.r]]</f>
        <v>4.0675367259786475</v>
      </c>
      <c r="O32" s="6">
        <v>8.0421727194416009E-2</v>
      </c>
      <c r="P32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8.2384760882151485E-4</v>
      </c>
      <c r="Q32" s="6">
        <f ca="1" xml:space="preserve"> Table1[A] * Table1[pres.pr] / Table1[Y]</f>
        <v>0.81809000118513109</v>
      </c>
      <c r="R32" s="6">
        <f ca="1">1 / area * gas.rt * Table1[[#This Row],[z]] * (460 + Table1[[#This Row],[temp]]) / (460 + 60) * (14.7 / Table1[[#This Row],[pres]]) / 86400</f>
        <v>0.33342529153808736</v>
      </c>
      <c r="S32" s="6">
        <f ca="1" xml:space="preserve"> vsl + Table1[[#This Row],[vsg]]</f>
        <v>2.6027259253764248</v>
      </c>
      <c r="T32" s="6">
        <f>8.188 / 1000 - 6.15 / 1000 *LOG10(gas.sg) +
  (1.709 / 100000 - 2.062 / 1000000 * gas.sg) * Table1[[#This Row],[temp]]</f>
        <v>1.10398205711537E-2</v>
      </c>
      <c r="U32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0.6399683967511971</v>
      </c>
      <c r="V32" s="6">
        <f ca="1" xml:space="preserve"> Table1[visc.base]/ Table1[temp.pr] * EXP(Table1[visc.r])</f>
        <v>1.4013385210626783E-2</v>
      </c>
      <c r="W32" s="6">
        <f t="shared" si="0"/>
        <v>5.0676308466678632</v>
      </c>
      <c r="X32" s="6">
        <f ca="1">1.938 * Table1[vsg] * (62.4 * liq.sg / if.tens)^0.25</f>
        <v>0.7445801879496623</v>
      </c>
      <c r="Y32" s="6">
        <f t="shared" si="1"/>
        <v>26.681220374524791</v>
      </c>
      <c r="Z32" s="6">
        <f t="shared" si="2"/>
        <v>2.069899451158622E-2</v>
      </c>
      <c r="AA32" s="7">
        <f>10^(-2.69851 + 0.15841 * (LOG10(Table1[NL]) + 3) - 0.551 * (LOG10(Table1[NL])+3)^2 +
               0.54785*(LOG10(Table1[NL]) + 3)^3 - 0.12195 * (LOG10(Table1[NL])+3)^4)</f>
        <v>2.7449344798175105E-3</v>
      </c>
      <c r="AB32" s="10">
        <f ca="1" xml:space="preserve"> Table1[NvL] * Table1[pres]^0.1 *  Table1[CNL]/ (Table1[NvG]^0.575 * pres.atm^0.1 * Table1[ND])</f>
        <v>9.6109959873658232E-4</v>
      </c>
      <c r="AC32" s="5">
        <f ca="1">-0.10307 + 0.61777 * (LOG10(Table1[X2]) + 6) -
    0.63295 * (LOG10(Table1[X2])+6)^2 + 0.29598 * (LOG10(Table1[X2])+6)^3 -
    0.0401 * (LOG10(Table1[X2]) + 6)^4</f>
        <v>0.78872724937978944</v>
      </c>
      <c r="AD32" s="7">
        <f ca="1" xml:space="preserve"> Table1[NvG]* Table1[NL]^0.38 / Table1[ND]^2.14</f>
        <v>1.5131849545459484E-4</v>
      </c>
      <c r="AE32" s="7">
        <f ca="1">(Table1[X3]-0.012)/ABS(Table1[X3]-0.012)</f>
        <v>-1</v>
      </c>
      <c r="AF32" s="7">
        <f ca="1">(1-Table1[index])/2*0.012+(1+Table1[index])/2*Table1[X3]</f>
        <v>1.2E-2</v>
      </c>
      <c r="AG32" s="7">
        <f ca="1" xml:space="preserve"> 0.91163 - 4.82176 *
      Table1[X3.mod]+ 1232.25 * Table1[X3.mod]^2 -
      22253.6 * Table1[X3.mod]^3 + 116174 * Table1[X3.mod]^4</f>
        <v>0.99516764326399998</v>
      </c>
      <c r="AH32" s="7">
        <f ca="1">Table1[YL.psi] * Table1[psi]</f>
        <v>0.78491583794338227</v>
      </c>
      <c r="AI32" s="7">
        <f ca="1">liq.visc^Table1[YL] * Table1[gas.visc]^(1-Table1[YL])</f>
        <v>1.3116994426807791</v>
      </c>
      <c r="AJ32" s="3">
        <f ca="1">0.022 * mass.rt / diam.ft / Table1[mix.visc]</f>
        <v>23016.416716348976</v>
      </c>
      <c r="AK32" s="7">
        <f ca="1">1 / (-4 * LOG(ed/3.7065-5.0452 / Table1[Re] * LOG(ed^1.1098 / 2.8257 + (7.149 / Table1[Re])^0.8981)))^2</f>
        <v>6.6079534758598816E-3</v>
      </c>
      <c r="AL32" s="5">
        <f ca="1">28.97 * gas.sg * Table1[pres] / (Table1[z] * 10.74 * (460 + Table1[temp]))</f>
        <v>4.8524519389410727</v>
      </c>
      <c r="AM32" s="5">
        <f ca="1">62.4 * liq.sg * Table1[YL]</f>
        <v>41.512702065449346</v>
      </c>
      <c r="AN32" s="5">
        <f ca="1">Table1[gas.dens] * (1 - Table1[YL])</f>
        <v>1.0436855592071506</v>
      </c>
      <c r="AO32" s="5">
        <f ca="1">Table1[liq.avgdens] + Table1[gas.avgdens]</f>
        <v>42.556387624656494</v>
      </c>
      <c r="AP32" s="5">
        <f ca="1">1 / 144 * Table1[mix.avgdens]</f>
        <v>0.29553046961567009</v>
      </c>
      <c r="AQ32" s="5">
        <f ca="1">1 / 144 * Table1[ff] * mass.rt^2 / 7.413 / 10000000000 / diam.ft^5 / Table1[mix.avgdens]</f>
        <v>5.9615541999173604E-3</v>
      </c>
      <c r="AR32">
        <f ca="1">Table1[elev.grad] + Table1[fric.grad]</f>
        <v>0.30149202381558743</v>
      </c>
    </row>
    <row r="33" spans="3:44" x14ac:dyDescent="0.25">
      <c r="C33">
        <f>ROW()-ROW(Table1[])+1</f>
        <v>14</v>
      </c>
      <c r="D33" s="3">
        <f>IF(Table1[[#This Row],[row]]=1,0,depth/(segments-1)+D32)</f>
        <v>4348.2758620689665</v>
      </c>
      <c r="E33" s="3">
        <f ca="1">IF(Table1[[#This Row],[row]]=1,0, Table1[[#This Row],[depth]]-OFFSET(Table1[[#This Row],[depth]],-1,0))</f>
        <v>334.48275862068976</v>
      </c>
      <c r="F33" s="3">
        <f ca="1">IF(Table1[[#This Row],[row]]=1,thp,OFFSET(Table1[[#This Row],[dp.dz]],-1,0)*Table1[[#This Row],[dL]]+OFFSET(Table1[[#This Row],[pres]],-1,0))</f>
        <v>1323.1490457485415</v>
      </c>
      <c r="G33" s="2">
        <f>IF(Table1[[#This Row],[row]]=1,tht,tht+(bht-tht)/depth*Table1[[#This Row],[depth]])</f>
        <v>124.82758620689657</v>
      </c>
      <c r="H33" s="6">
        <f ca="1">Table1[[#This Row],[pres]]/pres.pc</f>
        <v>1.9807620445337448</v>
      </c>
      <c r="I33" s="6">
        <f>(Table1[[#This Row],[temp]]+460)/temp.pc</f>
        <v>1.5028719386516332</v>
      </c>
      <c r="J33" s="6">
        <f>1/Table1[[#This Row],[temp.pr]]</f>
        <v>0.66539268867924528</v>
      </c>
      <c r="K33" s="6">
        <f>0.06125 * Table1[temp.r] * EXP(-1.2 * (1 - Table1[temp.r])^2)</f>
        <v>3.5631550050727122E-2</v>
      </c>
      <c r="L33" s="6">
        <f>Table1[[#This Row],[temp.r]] * (14.76 - 9.76 *Table1[[#This Row],[temp.r]] + 4.58 * Table1[[#This Row],[temp.r]]^2)</f>
        <v>6.849253302182734</v>
      </c>
      <c r="M33" s="6">
        <f xml:space="preserve"> Table1[[#This Row],[temp.r]] * (90.7 - 242.2 * Table1[[#This Row],[temp.r]] + 42.4 * Table1[[#This Row],[temp.r]]^2)</f>
        <v>-34.391232433429217</v>
      </c>
      <c r="N33" s="6">
        <f>2.18 + 2.82 * Table1[[#This Row],[temp.r]]</f>
        <v>4.0564073820754718</v>
      </c>
      <c r="O33" s="6">
        <v>8.6926147453724401E-2</v>
      </c>
      <c r="P33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8.627821315829818E-4</v>
      </c>
      <c r="Q33" s="6">
        <f ca="1" xml:space="preserve"> Table1[A] * Table1[pres.pr] / Table1[Y]</f>
        <v>0.81192626149637059</v>
      </c>
      <c r="R33" s="6">
        <f ca="1">1 / area * gas.rt * Table1[[#This Row],[z]] * (460 + Table1[[#This Row],[temp]]) / (460 + 60) * (14.7 / Table1[[#This Row],[pres]]) / 86400</f>
        <v>0.30750572040455132</v>
      </c>
      <c r="S33" s="6">
        <f ca="1" xml:space="preserve"> vsl + Table1[[#This Row],[vsg]]</f>
        <v>2.5768063542428887</v>
      </c>
      <c r="T33" s="6">
        <f>8.188 / 1000 - 6.15 / 1000 *LOG10(gas.sg) +
  (1.709 / 100000 - 2.062 / 1000000 * gas.sg) * Table1[[#This Row],[temp]]</f>
        <v>1.1093774364257149E-2</v>
      </c>
      <c r="U33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0.66965437732212674</v>
      </c>
      <c r="V33" s="6">
        <f ca="1" xml:space="preserve"> Table1[visc.base]/ Table1[temp.pr] * EXP(Table1[visc.r])</f>
        <v>1.4420640623265315E-2</v>
      </c>
      <c r="W33" s="6">
        <f t="shared" si="0"/>
        <v>5.0676308466678632</v>
      </c>
      <c r="X33" s="6">
        <f ca="1">1.938 * Table1[vsg] * (62.4 * liq.sg / if.tens)^0.25</f>
        <v>0.68669855858328788</v>
      </c>
      <c r="Y33" s="6">
        <f t="shared" si="1"/>
        <v>26.681220374524791</v>
      </c>
      <c r="Z33" s="6">
        <f t="shared" si="2"/>
        <v>2.069899451158622E-2</v>
      </c>
      <c r="AA33" s="7">
        <f>10^(-2.69851 + 0.15841 * (LOG10(Table1[NL]) + 3) - 0.551 * (LOG10(Table1[NL])+3)^2 +
               0.54785*(LOG10(Table1[NL]) + 3)^3 - 0.12195 * (LOG10(Table1[NL])+3)^4)</f>
        <v>2.7449344798175105E-3</v>
      </c>
      <c r="AB33" s="10">
        <f ca="1" xml:space="preserve"> Table1[NvL] * Table1[pres]^0.1 *  Table1[CNL]/ (Table1[NvG]^0.575 * pres.atm^0.1 * Table1[ND])</f>
        <v>1.0148921161823605E-3</v>
      </c>
      <c r="AC33" s="5">
        <f ca="1">-0.10307 + 0.61777 * (LOG10(Table1[X2]) + 6) -
    0.63295 * (LOG10(Table1[X2])+6)^2 + 0.29598 * (LOG10(Table1[X2])+6)^3 -
    0.0401 * (LOG10(Table1[X2]) + 6)^4</f>
        <v>0.80013063465656087</v>
      </c>
      <c r="AD33" s="7">
        <f ca="1" xml:space="preserve"> Table1[NvG]* Table1[NL]^0.38 / Table1[ND]^2.14</f>
        <v>1.3955540907124831E-4</v>
      </c>
      <c r="AE33" s="7">
        <f ca="1">(Table1[X3]-0.012)/ABS(Table1[X3]-0.012)</f>
        <v>-1</v>
      </c>
      <c r="AF33" s="7">
        <f ca="1">(1-Table1[index])/2*0.012+(1+Table1[index])/2*Table1[X3]</f>
        <v>1.2E-2</v>
      </c>
      <c r="AG33" s="7">
        <f ca="1" xml:space="preserve"> 0.91163 - 4.82176 *
      Table1[X3.mod]+ 1232.25 * Table1[X3.mod]^2 -
      22253.6 * Table1[X3.mod]^3 + 116174 * Table1[X3.mod]^4</f>
        <v>0.99516764326399998</v>
      </c>
      <c r="AH33" s="7">
        <f ca="1">Table1[YL.psi] * Table1[psi]</f>
        <v>0.79626411799449826</v>
      </c>
      <c r="AI33" s="7">
        <f ca="1">liq.visc^Table1[YL] * Table1[gas.visc]^(1-Table1[YL])</f>
        <v>1.4088668766121963</v>
      </c>
      <c r="AJ33" s="3">
        <f ca="1">0.022 * mass.rt / diam.ft / Table1[mix.visc]</f>
        <v>21429.00900043927</v>
      </c>
      <c r="AK33" s="7">
        <f ca="1">1 / (-4 * LOG(ed/3.7065-5.0452 / Table1[Re] * LOG(ed^1.1098 / 2.8257 + (7.149 / Table1[Re])^0.8981)))^2</f>
        <v>6.7052074545414656E-3</v>
      </c>
      <c r="AL33" s="5">
        <f ca="1">28.97 * gas.sg * Table1[pres] / (Table1[z] * 10.74 * (460 + Table1[temp]))</f>
        <v>5.2614637551699932</v>
      </c>
      <c r="AM33" s="5">
        <f ca="1">62.4 * liq.sg * Table1[YL]</f>
        <v>42.112890959524435</v>
      </c>
      <c r="AN33" s="5">
        <f ca="1">Table1[gas.dens] * (1 - Table1[YL])</f>
        <v>1.0719489587995379</v>
      </c>
      <c r="AO33" s="5">
        <f ca="1">Table1[liq.avgdens] + Table1[gas.avgdens]</f>
        <v>43.184839918323974</v>
      </c>
      <c r="AP33" s="5">
        <f ca="1">1 / 144 * Table1[mix.avgdens]</f>
        <v>0.29989472165502756</v>
      </c>
      <c r="AQ33" s="5">
        <f ca="1">1 / 144 * Table1[ff] * mass.rt^2 / 7.413 / 10000000000 / diam.ft^5 / Table1[mix.avgdens]</f>
        <v>5.9612616096110125E-3</v>
      </c>
      <c r="AR33">
        <f ca="1">Table1[elev.grad] + Table1[fric.grad]</f>
        <v>0.30585598326463859</v>
      </c>
    </row>
    <row r="34" spans="3:44" x14ac:dyDescent="0.25">
      <c r="C34">
        <f>ROW()-ROW(Table1[])+1</f>
        <v>15</v>
      </c>
      <c r="D34" s="3">
        <f>IF(Table1[[#This Row],[row]]=1,0,depth/(segments-1)+D33)</f>
        <v>4682.7586206896558</v>
      </c>
      <c r="E34" s="3">
        <f ca="1">IF(Table1[[#This Row],[row]]=1,0, Table1[[#This Row],[depth]]-OFFSET(Table1[[#This Row],[depth]],-1,0))</f>
        <v>334.48275862068931</v>
      </c>
      <c r="F34" s="3">
        <f ca="1">IF(Table1[[#This Row],[row]]=1,thp,OFFSET(Table1[[#This Row],[dp.dz]],-1,0)*Table1[[#This Row],[dL]]+OFFSET(Table1[[#This Row],[pres]],-1,0))</f>
        <v>1425.4525987715413</v>
      </c>
      <c r="G34" s="2">
        <f>IF(Table1[[#This Row],[row]]=1,tht,tht+(bht-tht)/depth*Table1[[#This Row],[depth]])</f>
        <v>128.27586206896552</v>
      </c>
      <c r="H34" s="6">
        <f ca="1">Table1[[#This Row],[pres]]/pres.pc</f>
        <v>2.1339110760053015</v>
      </c>
      <c r="I34" s="6">
        <f>(Table1[[#This Row],[temp]]+460)/temp.pc</f>
        <v>1.5117332118748152</v>
      </c>
      <c r="J34" s="6">
        <f>1/Table1[[#This Row],[temp.pr]]</f>
        <v>0.66149237983587328</v>
      </c>
      <c r="K34" s="6">
        <f>0.06125 * Table1[temp.r] * EXP(-1.2 * (1 - Table1[temp.r])^2)</f>
        <v>3.5311268844482629E-2</v>
      </c>
      <c r="L34" s="6">
        <f>Table1[[#This Row],[temp.r]] * (14.76 - 9.76 *Table1[[#This Row],[temp.r]] + 4.58 * Table1[[#This Row],[temp.r]]^2)</f>
        <v>6.8186071615896395</v>
      </c>
      <c r="M34" s="6">
        <f xml:space="preserve"> Table1[[#This Row],[temp.r]] * (90.7 - 242.2 * Table1[[#This Row],[temp.r]] + 42.4 * Table1[[#This Row],[temp.r]]^2)</f>
        <v>-33.709912601058299</v>
      </c>
      <c r="N34" s="6">
        <f>2.18 + 2.82 * Table1[[#This Row],[temp.r]]</f>
        <v>4.0454085111371629</v>
      </c>
      <c r="O34" s="6">
        <v>9.3046108642426836E-2</v>
      </c>
      <c r="P34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6.5392771376657959E-4</v>
      </c>
      <c r="Q34" s="6">
        <f ca="1" xml:space="preserve"> Table1[A] * Table1[pres.pr] / Table1[Y]</f>
        <v>0.80982545959674967</v>
      </c>
      <c r="R34" s="6">
        <f ca="1">1 / area * gas.rt * Table1[[#This Row],[z]] * (460 + Table1[[#This Row],[temp]]) / (460 + 60) * (14.7 / Table1[[#This Row],[pres]]) / 86400</f>
        <v>0.28637638550402594</v>
      </c>
      <c r="S34" s="6">
        <f ca="1" xml:space="preserve"> vsl + Table1[[#This Row],[vsg]]</f>
        <v>2.555677019342363</v>
      </c>
      <c r="T34" s="6">
        <f>8.188 / 1000 - 6.15 / 1000 *LOG10(gas.sg) +
  (1.709 / 100000 - 2.062 / 1000000 * gas.sg) * Table1[[#This Row],[temp]]</f>
        <v>1.1147728157360596E-2</v>
      </c>
      <c r="U34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0.69828828173799928</v>
      </c>
      <c r="V34" s="6">
        <f ca="1" xml:space="preserve"> Table1[visc.base]/ Table1[temp.pr] * EXP(Table1[visc.r])</f>
        <v>1.4824292068017433E-2</v>
      </c>
      <c r="W34" s="6">
        <f t="shared" si="0"/>
        <v>5.0676308466678632</v>
      </c>
      <c r="X34" s="6">
        <f ca="1">1.938 * Table1[vsg] * (62.4 * liq.sg / if.tens)^0.25</f>
        <v>0.6395141231167677</v>
      </c>
      <c r="Y34" s="6">
        <f t="shared" si="1"/>
        <v>26.681220374524791</v>
      </c>
      <c r="Z34" s="6">
        <f t="shared" si="2"/>
        <v>2.069899451158622E-2</v>
      </c>
      <c r="AA34" s="7">
        <f>10^(-2.69851 + 0.15841 * (LOG10(Table1[NL]) + 3) - 0.551 * (LOG10(Table1[NL])+3)^2 +
               0.54785*(LOG10(Table1[NL]) + 3)^3 - 0.12195 * (LOG10(Table1[NL])+3)^4)</f>
        <v>2.7449344798175105E-3</v>
      </c>
      <c r="AB34" s="10">
        <f ca="1" xml:space="preserve"> Table1[NvL] * Table1[pres]^0.1 *  Table1[CNL]/ (Table1[NvG]^0.575 * pres.atm^0.1 * Table1[ND])</f>
        <v>1.0651995583314229E-3</v>
      </c>
      <c r="AC34" s="5">
        <f ca="1">-0.10307 + 0.61777 * (LOG10(Table1[X2]) + 6) -
    0.63295 * (LOG10(Table1[X2])+6)^2 + 0.29598 * (LOG10(Table1[X2])+6)^3 -
    0.0401 * (LOG10(Table1[X2]) + 6)^4</f>
        <v>0.81013181988966076</v>
      </c>
      <c r="AD34" s="7">
        <f ca="1" xml:space="preserve"> Table1[NvG]* Table1[NL]^0.38 / Table1[ND]^2.14</f>
        <v>1.299662769680571E-4</v>
      </c>
      <c r="AE34" s="7">
        <f ca="1">(Table1[X3]-0.012)/ABS(Table1[X3]-0.012)</f>
        <v>-1</v>
      </c>
      <c r="AF34" s="7">
        <f ca="1">(1-Table1[index])/2*0.012+(1+Table1[index])/2*Table1[X3]</f>
        <v>1.2E-2</v>
      </c>
      <c r="AG34" s="7">
        <f ca="1" xml:space="preserve"> 0.91163 - 4.82176 *
      Table1[X3.mod]+ 1232.25 * Table1[X3.mod]^2 -
      22253.6 * Table1[X3.mod]^3 + 116174 * Table1[X3.mod]^4</f>
        <v>0.99516764326399998</v>
      </c>
      <c r="AH34" s="7">
        <f ca="1">Table1[YL.psi] * Table1[psi]</f>
        <v>0.80621697393276903</v>
      </c>
      <c r="AI34" s="7">
        <f ca="1">liq.visc^Table1[YL] * Table1[gas.visc]^(1-Table1[YL])</f>
        <v>1.4999119208924536</v>
      </c>
      <c r="AJ34" s="3">
        <f ca="1">0.022 * mass.rt / diam.ft / Table1[mix.visc]</f>
        <v>20128.262572498243</v>
      </c>
      <c r="AK34" s="7">
        <f ca="1">1 / (-4 * LOG(ed/3.7065-5.0452 / Table1[Re] * LOG(ed^1.1098 / 2.8257 + (7.149 / Table1[Re])^0.8981)))^2</f>
        <v>6.7930069241781557E-3</v>
      </c>
      <c r="AL34" s="5">
        <f ca="1">28.97 * gas.sg * Table1[pres] / (Table1[z] * 10.74 * (460 + Table1[temp]))</f>
        <v>5.6496634649830062</v>
      </c>
      <c r="AM34" s="5">
        <f ca="1">62.4 * liq.sg * Table1[YL]</f>
        <v>42.639278532934028</v>
      </c>
      <c r="AN34" s="5">
        <f ca="1">Table1[gas.dens] * (1 - Table1[YL])</f>
        <v>1.0948088825058844</v>
      </c>
      <c r="AO34" s="5">
        <f ca="1">Table1[liq.avgdens] + Table1[gas.avgdens]</f>
        <v>43.734087415439916</v>
      </c>
      <c r="AP34" s="5">
        <f ca="1">1 / 144 * Table1[mix.avgdens]</f>
        <v>0.3037089403849994</v>
      </c>
      <c r="AQ34" s="5">
        <f ca="1">1 / 144 * Table1[ff] * mass.rt^2 / 7.413 / 10000000000 / diam.ft^5 / Table1[mix.avgdens]</f>
        <v>5.9634731017777064E-3</v>
      </c>
      <c r="AR34">
        <f ca="1">Table1[elev.grad] + Table1[fric.grad]</f>
        <v>0.3096724134867771</v>
      </c>
    </row>
    <row r="35" spans="3:44" x14ac:dyDescent="0.25">
      <c r="C35">
        <f>ROW()-ROW(Table1[])+1</f>
        <v>16</v>
      </c>
      <c r="D35" s="3">
        <f>IF(Table1[[#This Row],[row]]=1,0,depth/(segments-1)+D34)</f>
        <v>5017.2413793103451</v>
      </c>
      <c r="E35" s="3">
        <f ca="1">IF(Table1[[#This Row],[row]]=1,0, Table1[[#This Row],[depth]]-OFFSET(Table1[[#This Row],[depth]],-1,0))</f>
        <v>334.48275862068931</v>
      </c>
      <c r="F35" s="3">
        <f ca="1">IF(Table1[[#This Row],[row]]=1,thp,OFFSET(Table1[[#This Row],[dp.dz]],-1,0)*Table1[[#This Row],[dL]]+OFFSET(Table1[[#This Row],[pres]],-1,0))</f>
        <v>1529.0326819033253</v>
      </c>
      <c r="G35" s="2">
        <f>IF(Table1[[#This Row],[row]]=1,tht,tht+(bht-tht)/depth*Table1[[#This Row],[depth]])</f>
        <v>131.72413793103448</v>
      </c>
      <c r="H35" s="6">
        <f ca="1">Table1[[#This Row],[pres]]/pres.pc</f>
        <v>2.2889710806936008</v>
      </c>
      <c r="I35" s="6">
        <f>(Table1[[#This Row],[temp]]+460)/temp.pc</f>
        <v>1.5205944850979967</v>
      </c>
      <c r="J35" s="6">
        <f>1/Table1[[#This Row],[temp.pr]]</f>
        <v>0.65763752913752915</v>
      </c>
      <c r="K35" s="6">
        <f>0.06125 * Table1[temp.r] * EXP(-1.2 * (1 - Table1[temp.r])^2)</f>
        <v>3.4995098494441566E-2</v>
      </c>
      <c r="L35" s="6">
        <f>Table1[[#This Row],[temp.r]] * (14.76 - 9.76 *Table1[[#This Row],[temp.r]] + 4.58 * Table1[[#This Row],[temp.r]]^2)</f>
        <v>6.7882981459822984</v>
      </c>
      <c r="M35" s="6">
        <f xml:space="preserve"> Table1[[#This Row],[temp.r]] * (90.7 - 242.2 * Table1[[#This Row],[temp.r]] + 42.4 * Table1[[#This Row],[temp.r]]^2)</f>
        <v>-33.041258647807581</v>
      </c>
      <c r="N35" s="6">
        <f>2.18 + 2.82 * Table1[[#This Row],[temp.r]]</f>
        <v>4.0345378321678318</v>
      </c>
      <c r="O35" s="6">
        <v>9.9071352830111301E-2</v>
      </c>
      <c r="P35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4.3116851477928994E-4</v>
      </c>
      <c r="Q35" s="6">
        <f ca="1" xml:space="preserve"> Table1[A] * Table1[pres.pr] / Table1[Y]</f>
        <v>0.80853613210634212</v>
      </c>
      <c r="R35" s="6">
        <f ca="1">1 / area * gas.rt * Table1[[#This Row],[z]] * (460 + Table1[[#This Row],[temp]]) / (460 + 60) * (14.7 / Table1[[#This Row],[pres]]) / 86400</f>
        <v>0.2681139915649548</v>
      </c>
      <c r="S35" s="6">
        <f ca="1" xml:space="preserve"> vsl + Table1[[#This Row],[vsg]]</f>
        <v>2.5374146254032919</v>
      </c>
      <c r="T35" s="6">
        <f>8.188 / 1000 - 6.15 / 1000 *LOG10(gas.sg) +
  (1.709 / 100000 - 2.062 / 1000000 * gas.sg) * Table1[[#This Row],[temp]]</f>
        <v>1.1201681950464046E-2</v>
      </c>
      <c r="U35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0.72585920292215023</v>
      </c>
      <c r="V35" s="6">
        <f ca="1" xml:space="preserve"> Table1[visc.base]/ Table1[temp.pr] * EXP(Table1[visc.r])</f>
        <v>1.5223218223381761E-2</v>
      </c>
      <c r="W35" s="6">
        <f t="shared" si="0"/>
        <v>5.0676308466678632</v>
      </c>
      <c r="X35" s="6">
        <f ca="1">1.938 * Table1[vsg] * (62.4 * liq.sg / if.tens)^0.25</f>
        <v>0.59873192375559214</v>
      </c>
      <c r="Y35" s="6">
        <f t="shared" si="1"/>
        <v>26.681220374524791</v>
      </c>
      <c r="Z35" s="6">
        <f t="shared" si="2"/>
        <v>2.069899451158622E-2</v>
      </c>
      <c r="AA35" s="7">
        <f>10^(-2.69851 + 0.15841 * (LOG10(Table1[NL]) + 3) - 0.551 * (LOG10(Table1[NL])+3)^2 +
               0.54785*(LOG10(Table1[NL]) + 3)^3 - 0.12195 * (LOG10(Table1[NL])+3)^4)</f>
        <v>2.7449344798175105E-3</v>
      </c>
      <c r="AB35" s="10">
        <f ca="1" xml:space="preserve"> Table1[NvL] * Table1[pres]^0.1 *  Table1[CNL]/ (Table1[NvG]^0.575 * pres.atm^0.1 * Table1[ND])</f>
        <v>1.1141215338854051E-3</v>
      </c>
      <c r="AC35" s="5">
        <f ca="1">-0.10307 + 0.61777 * (LOG10(Table1[X2]) + 6) -
    0.63295 * (LOG10(Table1[X2])+6)^2 + 0.29598 * (LOG10(Table1[X2])+6)^3 -
    0.0401 * (LOG10(Table1[X2]) + 6)^4</f>
        <v>0.81929622695801463</v>
      </c>
      <c r="AD35" s="7">
        <f ca="1" xml:space="preserve"> Table1[NvG]* Table1[NL]^0.38 / Table1[ND]^2.14</f>
        <v>1.2167824950165932E-4</v>
      </c>
      <c r="AE35" s="7">
        <f ca="1">(Table1[X3]-0.012)/ABS(Table1[X3]-0.012)</f>
        <v>-1</v>
      </c>
      <c r="AF35" s="7">
        <f ca="1">(1-Table1[index])/2*0.012+(1+Table1[index])/2*Table1[X3]</f>
        <v>1.2E-2</v>
      </c>
      <c r="AG35" s="7">
        <f ca="1" xml:space="preserve"> 0.91163 - 4.82176 *
      Table1[X3.mod]+ 1232.25 * Table1[X3.mod]^2 -
      22253.6 * Table1[X3.mod]^3 + 116174 * Table1[X3.mod]^4</f>
        <v>0.99516764326399998</v>
      </c>
      <c r="AH35" s="7">
        <f ca="1">Table1[YL.psi] * Table1[psi]</f>
        <v>0.81533709531689469</v>
      </c>
      <c r="AI35" s="7">
        <f ca="1">liq.visc^Table1[YL] * Table1[gas.visc]^(1-Table1[YL])</f>
        <v>1.5880986146357718</v>
      </c>
      <c r="AJ35" s="3">
        <f ca="1">0.022 * mass.rt / diam.ft / Table1[mix.visc]</f>
        <v>19010.545504611309</v>
      </c>
      <c r="AK35" s="7">
        <f ca="1">1 / (-4 * LOG(ed/3.7065-5.0452 / Table1[Re] * LOG(ed^1.1098 / 2.8257 + (7.149 / Table1[Re])^0.8981)))^2</f>
        <v>6.8752561432892899E-3</v>
      </c>
      <c r="AL35" s="5">
        <f ca="1">28.97 * gas.sg * Table1[pres] / (Table1[z] * 10.74 * (460 + Table1[temp]))</f>
        <v>6.0344862756780655</v>
      </c>
      <c r="AM35" s="5">
        <f ca="1">62.4 * liq.sg * Table1[YL]</f>
        <v>43.121624363554474</v>
      </c>
      <c r="AN35" s="5">
        <f ca="1">Table1[gas.dens] * (1 - Table1[YL])</f>
        <v>1.1143457639370458</v>
      </c>
      <c r="AO35" s="5">
        <f ca="1">Table1[liq.avgdens] + Table1[gas.avgdens]</f>
        <v>44.23597012749152</v>
      </c>
      <c r="AP35" s="5">
        <f ca="1">1 / 144 * Table1[mix.avgdens]</f>
        <v>0.30719423699646886</v>
      </c>
      <c r="AQ35" s="5">
        <f ca="1">1 / 144 * Table1[ff] * mass.rt^2 / 7.413 / 10000000000 / diam.ft^5 / Table1[mix.avgdens]</f>
        <v>5.967200119026162E-3</v>
      </c>
      <c r="AR35">
        <f ca="1">Table1[elev.grad] + Table1[fric.grad]</f>
        <v>0.31316143711549504</v>
      </c>
    </row>
    <row r="36" spans="3:44" x14ac:dyDescent="0.25">
      <c r="C36">
        <f>ROW()-ROW(Table1[])+1</f>
        <v>17</v>
      </c>
      <c r="D36" s="3">
        <f>IF(Table1[[#This Row],[row]]=1,0,depth/(segments-1)+D35)</f>
        <v>5351.7241379310344</v>
      </c>
      <c r="E36" s="3">
        <f ca="1">IF(Table1[[#This Row],[row]]=1,0, Table1[[#This Row],[depth]]-OFFSET(Table1[[#This Row],[depth]],-1,0))</f>
        <v>334.48275862068931</v>
      </c>
      <c r="F36" s="3">
        <f ca="1">IF(Table1[[#This Row],[row]]=1,thp,OFFSET(Table1[[#This Row],[dp.dz]],-1,0)*Table1[[#This Row],[dL]]+OFFSET(Table1[[#This Row],[pres]],-1,0))</f>
        <v>1633.7797832833355</v>
      </c>
      <c r="G36" s="2">
        <f>IF(Table1[[#This Row],[row]]=1,tht,tht+(bht-tht)/depth*Table1[[#This Row],[depth]])</f>
        <v>135.17241379310343</v>
      </c>
      <c r="H36" s="6">
        <f ca="1">Table1[[#This Row],[pres]]/pres.pc</f>
        <v>2.445778118687628</v>
      </c>
      <c r="I36" s="6">
        <f>(Table1[[#This Row],[temp]]+460)/temp.pc</f>
        <v>1.5294557583211787</v>
      </c>
      <c r="J36" s="6">
        <f>1/Table1[[#This Row],[temp.pr]]</f>
        <v>0.65382734646581686</v>
      </c>
      <c r="K36" s="6">
        <f>0.06125 * Table1[temp.r] * EXP(-1.2 * (1 - Table1[temp.r])^2)</f>
        <v>3.4682987173880402E-2</v>
      </c>
      <c r="L36" s="6">
        <f>Table1[[#This Row],[temp.r]] * (14.76 - 9.76 *Table1[[#This Row],[temp.r]] + 4.58 * Table1[[#This Row],[temp.r]]^2)</f>
        <v>6.7583191953181769</v>
      </c>
      <c r="M36" s="6">
        <f xml:space="preserve"> Table1[[#This Row],[temp.r]] * (90.7 - 242.2 * Table1[[#This Row],[temp.r]] + 42.4 * Table1[[#This Row],[temp.r]]^2)</f>
        <v>-32.384983094483552</v>
      </c>
      <c r="N36" s="6">
        <f>2.18 + 2.82 * Table1[[#This Row],[temp.r]]</f>
        <v>4.0237931170336037</v>
      </c>
      <c r="O36" s="6">
        <v>0.10553316177056399</v>
      </c>
      <c r="P36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5.9555924573047054E-4</v>
      </c>
      <c r="Q36" s="6">
        <f ca="1" xml:space="preserve"> Table1[A] * Table1[pres.pr] / Table1[Y]</f>
        <v>0.80379370519590376</v>
      </c>
      <c r="R36" s="6">
        <f ca="1">1 / area * gas.rt * Table1[[#This Row],[z]] * (460 + Table1[[#This Row],[temp]]) / (460 + 60) * (14.7 / Table1[[#This Row],[pres]]) / 86400</f>
        <v>0.25090620682344861</v>
      </c>
      <c r="S36" s="6">
        <f ca="1" xml:space="preserve"> vsl + Table1[[#This Row],[vsg]]</f>
        <v>2.5202068406617859</v>
      </c>
      <c r="T36" s="6">
        <f>8.188 / 1000 - 6.15 / 1000 *LOG10(gas.sg) +
  (1.709 / 100000 - 2.062 / 1000000 * gas.sg) * Table1[[#This Row],[temp]]</f>
        <v>1.1255635743567492E-2</v>
      </c>
      <c r="U36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0.75238191276632971</v>
      </c>
      <c r="V36" s="6">
        <f ca="1" xml:space="preserve"> Table1[visc.base]/ Table1[temp.pr] * EXP(Table1[visc.r])</f>
        <v>1.5616669670383521E-2</v>
      </c>
      <c r="W36" s="6">
        <f t="shared" si="0"/>
        <v>5.0676308466678632</v>
      </c>
      <c r="X36" s="6">
        <f ca="1">1.938 * Table1[vsg] * (62.4 * liq.sg / if.tens)^0.25</f>
        <v>0.56030479803299404</v>
      </c>
      <c r="Y36" s="6">
        <f t="shared" si="1"/>
        <v>26.681220374524791</v>
      </c>
      <c r="Z36" s="6">
        <f t="shared" si="2"/>
        <v>2.069899451158622E-2</v>
      </c>
      <c r="AA36" s="7">
        <f>10^(-2.69851 + 0.15841 * (LOG10(Table1[NL]) + 3) - 0.551 * (LOG10(Table1[NL])+3)^2 +
               0.54785*(LOG10(Table1[NL]) + 3)^3 - 0.12195 * (LOG10(Table1[NL])+3)^4)</f>
        <v>2.7449344798175105E-3</v>
      </c>
      <c r="AB36" s="10">
        <f ca="1" xml:space="preserve"> Table1[NvL] * Table1[pres]^0.1 *  Table1[CNL]/ (Table1[NvG]^0.575 * pres.atm^0.1 * Table1[ND])</f>
        <v>1.1651313437624174E-3</v>
      </c>
      <c r="AC36" s="5">
        <f ca="1">-0.10307 + 0.61777 * (LOG10(Table1[X2]) + 6) -
    0.63295 * (LOG10(Table1[X2])+6)^2 + 0.29598 * (LOG10(Table1[X2])+6)^3 -
    0.0401 * (LOG10(Table1[X2]) + 6)^4</f>
        <v>0.82831076906683609</v>
      </c>
      <c r="AD36" s="7">
        <f ca="1" xml:space="preserve"> Table1[NvG]* Table1[NL]^0.38 / Table1[ND]^2.14</f>
        <v>1.1386883562912526E-4</v>
      </c>
      <c r="AE36" s="7">
        <f ca="1">(Table1[X3]-0.012)/ABS(Table1[X3]-0.012)</f>
        <v>-1</v>
      </c>
      <c r="AF36" s="7">
        <f ca="1">(1-Table1[index])/2*0.012+(1+Table1[index])/2*Table1[X3]</f>
        <v>1.2E-2</v>
      </c>
      <c r="AG36" s="7">
        <f ca="1" xml:space="preserve"> 0.91163 - 4.82176 *
      Table1[X3.mod]+ 1232.25 * Table1[X3.mod]^2 -
      22253.6 * Table1[X3.mod]^3 + 116174 * Table1[X3.mod]^4</f>
        <v>0.99516764326399998</v>
      </c>
      <c r="AH36" s="7">
        <f ca="1">Table1[YL.psi] * Table1[psi]</f>
        <v>0.8243080759424346</v>
      </c>
      <c r="AI36" s="7">
        <f ca="1">liq.visc^Table1[YL] * Table1[gas.visc]^(1-Table1[YL])</f>
        <v>1.6789284286219759</v>
      </c>
      <c r="AJ36" s="3">
        <f ca="1">0.022 * mass.rt / diam.ft / Table1[mix.visc]</f>
        <v>17982.077415964213</v>
      </c>
      <c r="AK36" s="7">
        <f ca="1">1 / (-4 * LOG(ed/3.7065-5.0452 / Table1[Re] * LOG(ed^1.1098 / 2.8257 + (7.149 / Table1[Re])^0.8981)))^2</f>
        <v>6.9573350095161676E-3</v>
      </c>
      <c r="AL36" s="5">
        <f ca="1">28.97 * gas.sg * Table1[pres] / (Table1[z] * 10.74 * (460 + Table1[temp]))</f>
        <v>6.4483466666667537</v>
      </c>
      <c r="AM36" s="5">
        <f ca="1">62.4 * liq.sg * Table1[YL]</f>
        <v>43.596082423820825</v>
      </c>
      <c r="AN36" s="5">
        <f ca="1">Table1[gas.dens] * (1 - Table1[YL])</f>
        <v>1.1329224328568703</v>
      </c>
      <c r="AO36" s="5">
        <f ca="1">Table1[liq.avgdens] + Table1[gas.avgdens]</f>
        <v>44.729004856677697</v>
      </c>
      <c r="AP36" s="5">
        <f ca="1">1 / 144 * Table1[mix.avgdens]</f>
        <v>0.31061808928248397</v>
      </c>
      <c r="AQ36" s="5">
        <f ca="1">1 / 144 * Table1[ff] * mass.rt^2 / 7.413 / 10000000000 / diam.ft^5 / Table1[mix.avgdens]</f>
        <v>5.9718784020824159E-3</v>
      </c>
      <c r="AR36">
        <f ca="1">Table1[elev.grad] + Table1[fric.grad]</f>
        <v>0.31658996768456638</v>
      </c>
    </row>
    <row r="37" spans="3:44" x14ac:dyDescent="0.25">
      <c r="C37">
        <f>ROW()-ROW(Table1[])+1</f>
        <v>18</v>
      </c>
      <c r="D37" s="3">
        <f>IF(Table1[[#This Row],[row]]=1,0,depth/(segments-1)+D36)</f>
        <v>5686.2068965517237</v>
      </c>
      <c r="E37" s="3">
        <f ca="1">IF(Table1[[#This Row],[row]]=1,0, Table1[[#This Row],[depth]]-OFFSET(Table1[[#This Row],[depth]],-1,0))</f>
        <v>334.48275862068931</v>
      </c>
      <c r="F37" s="3">
        <f ca="1">IF(Table1[[#This Row],[row]]=1,thp,OFFSET(Table1[[#This Row],[dp.dz]],-1,0)*Table1[[#This Row],[dL]]+OFFSET(Table1[[#This Row],[pres]],-1,0))</f>
        <v>1739.6736690261041</v>
      </c>
      <c r="G37" s="2">
        <f>IF(Table1[[#This Row],[row]]=1,tht,tht+(bht-tht)/depth*Table1[[#This Row],[depth]])</f>
        <v>138.62068965517241</v>
      </c>
      <c r="H37" s="6">
        <f ca="1">Table1[[#This Row],[pres]]/pres.pc</f>
        <v>2.604301899739677</v>
      </c>
      <c r="I37" s="6">
        <f>(Table1[[#This Row],[temp]]+460)/temp.pc</f>
        <v>1.5383170315443606</v>
      </c>
      <c r="J37" s="6">
        <f>1/Table1[[#This Row],[temp.pr]]</f>
        <v>0.65006105990783403</v>
      </c>
      <c r="K37" s="6">
        <f>0.06125 * Table1[temp.r] * EXP(-1.2 * (1 - Table1[temp.r])^2)</f>
        <v>3.4374883025582663E-2</v>
      </c>
      <c r="L37" s="6">
        <f>Table1[[#This Row],[temp.r]] * (14.76 - 9.76 *Table1[[#This Row],[temp.r]] + 4.58 * Table1[[#This Row],[temp.r]]^2)</f>
        <v>6.728663474963267</v>
      </c>
      <c r="M37" s="6">
        <f xml:space="preserve"> Table1[[#This Row],[temp.r]] * (90.7 - 242.2 * Table1[[#This Row],[temp.r]] + 42.4 * Table1[[#This Row],[temp.r]]^2)</f>
        <v>-31.740806302103987</v>
      </c>
      <c r="N37" s="6">
        <f>2.18 + 2.82 * Table1[[#This Row],[temp.r]]</f>
        <v>4.013172188940092</v>
      </c>
      <c r="O37" s="6">
        <v>0.1116905331175141</v>
      </c>
      <c r="P37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6.4188614783818477E-4</v>
      </c>
      <c r="Q37" s="6">
        <f ca="1" xml:space="preserve"> Table1[A] * Table1[pres.pr] / Table1[Y]</f>
        <v>0.8015233759576007</v>
      </c>
      <c r="R37" s="6">
        <f ca="1">1 / area * gas.rt * Table1[[#This Row],[z]] * (460 + Table1[[#This Row],[temp]]) / (460 + 60) * (14.7 / Table1[[#This Row],[pres]]) / 86400</f>
        <v>0.23632934640616057</v>
      </c>
      <c r="S37" s="6">
        <f ca="1" xml:space="preserve"> vsl + Table1[[#This Row],[vsg]]</f>
        <v>2.5056299802444979</v>
      </c>
      <c r="T37" s="6">
        <f>8.188 / 1000 - 6.15 / 1000 *LOG10(gas.sg) +
  (1.709 / 100000 - 2.062 / 1000000 * gas.sg) * Table1[[#This Row],[temp]]</f>
        <v>1.1309589536670942E-2</v>
      </c>
      <c r="U37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0.7778966805362092</v>
      </c>
      <c r="V37" s="6">
        <f ca="1" xml:space="preserve"> Table1[visc.base]/ Table1[temp.pr] * EXP(Table1[visc.r])</f>
        <v>1.6004320159293435E-2</v>
      </c>
      <c r="W37" s="6">
        <f t="shared" si="0"/>
        <v>5.0676308466678632</v>
      </c>
      <c r="X37" s="6">
        <f ca="1">1.938 * Table1[vsg] * (62.4 * liq.sg / if.tens)^0.25</f>
        <v>0.52775285388036963</v>
      </c>
      <c r="Y37" s="6">
        <f t="shared" si="1"/>
        <v>26.681220374524791</v>
      </c>
      <c r="Z37" s="6">
        <f t="shared" si="2"/>
        <v>2.069899451158622E-2</v>
      </c>
      <c r="AA37" s="7">
        <f>10^(-2.69851 + 0.15841 * (LOG10(Table1[NL]) + 3) - 0.551 * (LOG10(Table1[NL])+3)^2 +
               0.54785*(LOG10(Table1[NL]) + 3)^3 - 0.12195 * (LOG10(Table1[NL])+3)^4)</f>
        <v>2.7449344798175105E-3</v>
      </c>
      <c r="AB37" s="10">
        <f ca="1" xml:space="preserve"> Table1[NvL] * Table1[pres]^0.1 *  Table1[CNL]/ (Table1[NvG]^0.575 * pres.atm^0.1 * Table1[ND])</f>
        <v>1.2135249774298858E-3</v>
      </c>
      <c r="AC37" s="5">
        <f ca="1">-0.10307 + 0.61777 * (LOG10(Table1[X2]) + 6) -
    0.63295 * (LOG10(Table1[X2])+6)^2 + 0.29598 * (LOG10(Table1[X2])+6)^3 -
    0.0401 * (LOG10(Table1[X2]) + 6)^4</f>
        <v>0.83639242301830841</v>
      </c>
      <c r="AD37" s="7">
        <f ca="1" xml:space="preserve"> Table1[NvG]* Table1[NL]^0.38 / Table1[ND]^2.14</f>
        <v>1.0725341489538138E-4</v>
      </c>
      <c r="AE37" s="7">
        <f ca="1">(Table1[X3]-0.012)/ABS(Table1[X3]-0.012)</f>
        <v>-1</v>
      </c>
      <c r="AF37" s="7">
        <f ca="1">(1-Table1[index])/2*0.012+(1+Table1[index])/2*Table1[X3]</f>
        <v>1.2E-2</v>
      </c>
      <c r="AG37" s="7">
        <f ca="1" xml:space="preserve"> 0.91163 - 4.82176 *
      Table1[X3.mod]+ 1232.25 * Table1[X3.mod]^2 -
      22253.6 * Table1[X3.mod]^3 + 116174 * Table1[X3.mod]^4</f>
        <v>0.99516764326399998</v>
      </c>
      <c r="AH37" s="7">
        <f ca="1">Table1[YL.psi] * Table1[psi]</f>
        <v>0.83235067645899652</v>
      </c>
      <c r="AI37" s="7">
        <f ca="1">liq.visc^Table1[YL] * Table1[gas.visc]^(1-Table1[YL])</f>
        <v>1.7645656371869509</v>
      </c>
      <c r="AJ37" s="3">
        <f ca="1">0.022 * mass.rt / diam.ft / Table1[mix.visc]</f>
        <v>17109.378275932562</v>
      </c>
      <c r="AK37" s="7">
        <f ca="1">1 / (-4 * LOG(ed/3.7065-5.0452 / Table1[Re] * LOG(ed^1.1098 / 2.8257 + (7.149 / Table1[Re])^0.8981)))^2</f>
        <v>7.0324620874594214E-3</v>
      </c>
      <c r="AL37" s="5">
        <f ca="1">28.97 * gas.sg * Table1[pres] / (Table1[z] * 10.74 * (460 + Table1[temp]))</f>
        <v>6.8460824989350897</v>
      </c>
      <c r="AM37" s="5">
        <f ca="1">62.4 * liq.sg * Table1[YL]</f>
        <v>44.021440230270834</v>
      </c>
      <c r="AN37" s="5">
        <f ca="1">Table1[gas.dens] * (1 - Table1[YL])</f>
        <v>1.1477410998523705</v>
      </c>
      <c r="AO37" s="5">
        <f ca="1">Table1[liq.avgdens] + Table1[gas.avgdens]</f>
        <v>45.169181330123202</v>
      </c>
      <c r="AP37" s="5">
        <f ca="1">1 / 144 * Table1[mix.avgdens]</f>
        <v>0.31367487034807778</v>
      </c>
      <c r="AQ37" s="5">
        <f ca="1">1 / 144 * Table1[ff] * mass.rt^2 / 7.413 / 10000000000 / diam.ft^5 / Table1[mix.avgdens]</f>
        <v>5.9775395240639082E-3</v>
      </c>
      <c r="AR37">
        <f ca="1">Table1[elev.grad] + Table1[fric.grad]</f>
        <v>0.31965240987214172</v>
      </c>
    </row>
    <row r="38" spans="3:44" x14ac:dyDescent="0.25">
      <c r="C38">
        <f>ROW()-ROW(Table1[])+1</f>
        <v>19</v>
      </c>
      <c r="D38" s="3">
        <f>IF(Table1[[#This Row],[row]]=1,0,depth/(segments-1)+D37)</f>
        <v>6020.689655172413</v>
      </c>
      <c r="E38" s="3">
        <f ca="1">IF(Table1[[#This Row],[row]]=1,0, Table1[[#This Row],[depth]]-OFFSET(Table1[[#This Row],[depth]],-1,0))</f>
        <v>334.48275862068931</v>
      </c>
      <c r="F38" s="3">
        <f ca="1">IF(Table1[[#This Row],[row]]=1,thp,OFFSET(Table1[[#This Row],[dp.dz]],-1,0)*Table1[[#This Row],[dL]]+OFFSET(Table1[[#This Row],[pres]],-1,0))</f>
        <v>1846.5918888798892</v>
      </c>
      <c r="G38" s="2">
        <f>IF(Table1[[#This Row],[row]]=1,tht,tht+(bht-tht)/depth*Table1[[#This Row],[depth]])</f>
        <v>142.06896551724137</v>
      </c>
      <c r="H38" s="6">
        <f ca="1">Table1[[#This Row],[pres]]/pres.pc</f>
        <v>2.7643591150896545</v>
      </c>
      <c r="I38" s="6">
        <f>(Table1[[#This Row],[temp]]+460)/temp.pc</f>
        <v>1.5471783047675423</v>
      </c>
      <c r="J38" s="6">
        <f>1/Table1[[#This Row],[temp.pr]]</f>
        <v>0.64633791523482242</v>
      </c>
      <c r="K38" s="6">
        <f>0.06125 * Table1[temp.r] * EXP(-1.2 * (1 - Table1[temp.r])^2)</f>
        <v>3.4070734221437603E-2</v>
      </c>
      <c r="L38" s="6">
        <f>Table1[[#This Row],[temp.r]] * (14.76 - 9.76 *Table1[[#This Row],[temp.r]] + 4.58 * Table1[[#This Row],[temp.r]]^2)</f>
        <v>6.6993243664533439</v>
      </c>
      <c r="M38" s="6">
        <f xml:space="preserve"> Table1[[#This Row],[temp.r]] * (90.7 - 242.2 * Table1[[#This Row],[temp.r]] + 42.4 * Table1[[#This Row],[temp.r]]^2)</f>
        <v>-31.108456221982312</v>
      </c>
      <c r="N38" s="6">
        <f>2.18 + 2.82 * Table1[[#This Row],[temp.r]]</f>
        <v>4.0026729209621994</v>
      </c>
      <c r="O38" s="6">
        <v>0.11768120008871516</v>
      </c>
      <c r="P38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6.9043734177825361E-4</v>
      </c>
      <c r="Q38" s="6">
        <f ca="1" xml:space="preserve"> Table1[A] * Table1[pres.pr] / Table1[Y]</f>
        <v>0.80032957372823099</v>
      </c>
      <c r="R38" s="6">
        <f ca="1">1 / area * gas.rt * Table1[[#This Row],[z]] * (460 + Table1[[#This Row],[temp]]) / (460 + 60) * (14.7 / Table1[[#This Row],[pres]]) / 86400</f>
        <v>0.22359480628193726</v>
      </c>
      <c r="S38" s="6">
        <f ca="1" xml:space="preserve"> vsl + Table1[[#This Row],[vsg]]</f>
        <v>2.4928954401202743</v>
      </c>
      <c r="T38" s="6">
        <f>8.188 / 1000 - 6.15 / 1000 *LOG10(gas.sg) +
  (1.709 / 100000 - 2.062 / 1000000 * gas.sg) * Table1[[#This Row],[temp]]</f>
        <v>1.1363543329774389E-2</v>
      </c>
      <c r="U38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0.8024198270226699</v>
      </c>
      <c r="V38" s="6">
        <f ca="1" xml:space="preserve"> Table1[visc.base]/ Table1[temp.pr] * EXP(Table1[visc.r])</f>
        <v>1.6385507926464069E-2</v>
      </c>
      <c r="W38" s="6">
        <f t="shared" si="0"/>
        <v>5.0676308466678632</v>
      </c>
      <c r="X38" s="6">
        <f ca="1">1.938 * Table1[vsg] * (62.4 * liq.sg / if.tens)^0.25</f>
        <v>0.49931504031377771</v>
      </c>
      <c r="Y38" s="6">
        <f t="shared" si="1"/>
        <v>26.681220374524791</v>
      </c>
      <c r="Z38" s="6">
        <f t="shared" si="2"/>
        <v>2.069899451158622E-2</v>
      </c>
      <c r="AA38" s="7">
        <f>10^(-2.69851 + 0.15841 * (LOG10(Table1[NL]) + 3) - 0.551 * (LOG10(Table1[NL])+3)^2 +
               0.54785*(LOG10(Table1[NL]) + 3)^3 - 0.12195 * (LOG10(Table1[NL])+3)^4)</f>
        <v>2.7449344798175105E-3</v>
      </c>
      <c r="AB38" s="10">
        <f ca="1" xml:space="preserve"> Table1[NvL] * Table1[pres]^0.1 *  Table1[CNL]/ (Table1[NvG]^0.575 * pres.atm^0.1 * Table1[ND])</f>
        <v>1.2602920592438365E-3</v>
      </c>
      <c r="AC38" s="5">
        <f ca="1">-0.10307 + 0.61777 * (LOG10(Table1[X2]) + 6) -
    0.63295 * (LOG10(Table1[X2])+6)^2 + 0.29598 * (LOG10(Table1[X2])+6)^3 -
    0.0401 * (LOG10(Table1[X2]) + 6)^4</f>
        <v>0.8437995752093439</v>
      </c>
      <c r="AD38" s="7">
        <f ca="1" xml:space="preserve"> Table1[NvG]* Table1[NL]^0.38 / Table1[ND]^2.14</f>
        <v>1.0147409490734286E-4</v>
      </c>
      <c r="AE38" s="7">
        <f ca="1">(Table1[X3]-0.012)/ABS(Table1[X3]-0.012)</f>
        <v>-1</v>
      </c>
      <c r="AF38" s="7">
        <f ca="1">(1-Table1[index])/2*0.012+(1+Table1[index])/2*Table1[X3]</f>
        <v>1.2E-2</v>
      </c>
      <c r="AG38" s="7">
        <f ca="1" xml:space="preserve"> 0.91163 - 4.82176 *
      Table1[X3.mod]+ 1232.25 * Table1[X3.mod]^2 -
      22253.6 * Table1[X3.mod]^3 + 116174 * Table1[X3.mod]^4</f>
        <v>0.99516764326399998</v>
      </c>
      <c r="AH38" s="7">
        <f ca="1">Table1[YL.psi] * Table1[psi]</f>
        <v>0.83972203464824702</v>
      </c>
      <c r="AI38" s="7">
        <f ca="1">liq.visc^Table1[YL] * Table1[gas.visc]^(1-Table1[YL])</f>
        <v>1.8465621778328296</v>
      </c>
      <c r="AJ38" s="3">
        <f ca="1">0.022 * mass.rt / diam.ft / Table1[mix.visc]</f>
        <v>16349.636823373025</v>
      </c>
      <c r="AK38" s="7">
        <f ca="1">1 / (-4 * LOG(ed/3.7065-5.0452 / Table1[Re] * LOG(ed^1.1098 / 2.8257 + (7.149 / Table1[Re])^0.8981)))^2</f>
        <v>7.1024892021168901E-3</v>
      </c>
      <c r="AL38" s="5">
        <f ca="1">28.97 * gas.sg * Table1[pres] / (Table1[z] * 10.74 * (460 + Table1[temp]))</f>
        <v>7.2359918788806237</v>
      </c>
      <c r="AM38" s="5">
        <f ca="1">62.4 * liq.sg * Table1[YL]</f>
        <v>44.411297309890799</v>
      </c>
      <c r="AN38" s="5">
        <f ca="1">Table1[gas.dens] * (1 - Table1[YL])</f>
        <v>1.1597700556487947</v>
      </c>
      <c r="AO38" s="5">
        <f ca="1">Table1[liq.avgdens] + Table1[gas.avgdens]</f>
        <v>45.571067365539591</v>
      </c>
      <c r="AP38" s="5">
        <f ca="1">1 / 144 * Table1[mix.avgdens]</f>
        <v>0.31646574559402491</v>
      </c>
      <c r="AQ38" s="5">
        <f ca="1">1 / 144 * Table1[ff] * mass.rt^2 / 7.413 / 10000000000 / diam.ft^5 / Table1[mix.avgdens]</f>
        <v>5.9838218810221782E-3</v>
      </c>
      <c r="AR38">
        <f ca="1">Table1[elev.grad] + Table1[fric.grad]</f>
        <v>0.32244956747504711</v>
      </c>
    </row>
    <row r="39" spans="3:44" x14ac:dyDescent="0.25">
      <c r="C39">
        <f>ROW()-ROW(Table1[])+1</f>
        <v>20</v>
      </c>
      <c r="D39" s="3">
        <f>IF(Table1[[#This Row],[row]]=1,0,depth/(segments-1)+D38)</f>
        <v>6355.1724137931024</v>
      </c>
      <c r="E39" s="3">
        <f ca="1">IF(Table1[[#This Row],[row]]=1,0, Table1[[#This Row],[depth]]-OFFSET(Table1[[#This Row],[depth]],-1,0))</f>
        <v>334.48275862068931</v>
      </c>
      <c r="F39" s="3">
        <f ca="1">IF(Table1[[#This Row],[row]]=1,thp,OFFSET(Table1[[#This Row],[dp.dz]],-1,0)*Table1[[#This Row],[dL]]+OFFSET(Table1[[#This Row],[pres]],-1,0))</f>
        <v>1954.445709724991</v>
      </c>
      <c r="G39" s="2">
        <f>IF(Table1[[#This Row],[row]]=1,tht,tht+(bht-tht)/depth*Table1[[#This Row],[depth]])</f>
        <v>145.51724137931035</v>
      </c>
      <c r="H39" s="6">
        <f ca="1">Table1[[#This Row],[pres]]/pres.pc</f>
        <v>2.9258169307260347</v>
      </c>
      <c r="I39" s="6">
        <f>(Table1[[#This Row],[temp]]+460)/temp.pc</f>
        <v>1.5560395779907241</v>
      </c>
      <c r="J39" s="6">
        <f>1/Table1[[#This Row],[temp.pr]]</f>
        <v>0.64265717539863321</v>
      </c>
      <c r="K39" s="6">
        <f>0.06125 * Table1[temp.r] * EXP(-1.2 * (1 - Table1[temp.r])^2)</f>
        <v>3.3770489017288102E-2</v>
      </c>
      <c r="L39" s="6">
        <f>Table1[[#This Row],[temp.r]] * (14.76 - 9.76 *Table1[[#This Row],[temp.r]] + 4.58 * Table1[[#This Row],[temp.r]]^2)</f>
        <v>6.6702954586991829</v>
      </c>
      <c r="M39" s="6">
        <f xml:space="preserve"> Table1[[#This Row],[temp.r]] * (90.7 - 242.2 * Table1[[#This Row],[temp.r]] + 42.4 * Table1[[#This Row],[temp.r]]^2)</f>
        <v>-30.487668154902497</v>
      </c>
      <c r="N39" s="6">
        <f>2.18 + 2.82 * Table1[[#This Row],[temp.r]]</f>
        <v>3.992293234624146</v>
      </c>
      <c r="O39" s="6">
        <v>0.12347949682757429</v>
      </c>
      <c r="P39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7.4127924245082771E-4</v>
      </c>
      <c r="Q39" s="6">
        <f ca="1" xml:space="preserve"> Table1[A] * Table1[pres.pr] / Table1[Y]</f>
        <v>0.80018360184647785</v>
      </c>
      <c r="R39" s="6">
        <f ca="1">1 / area * gas.rt * Table1[[#This Row],[z]] * (460 + Table1[[#This Row],[temp]]) / (460 + 60) * (14.7 / Table1[[#This Row],[pres]]) / 86400</f>
        <v>0.21242717714107803</v>
      </c>
      <c r="S39" s="6">
        <f ca="1" xml:space="preserve"> vsl + Table1[[#This Row],[vsg]]</f>
        <v>2.4817278109794154</v>
      </c>
      <c r="T39" s="6">
        <f>8.188 / 1000 - 6.15 / 1000 *LOG10(gas.sg) +
  (1.709 / 100000 - 2.062 / 1000000 * gas.sg) * Table1[[#This Row],[temp]]</f>
        <v>1.1417497122877839E-2</v>
      </c>
      <c r="U39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0.82597867110050616</v>
      </c>
      <c r="V39" s="6">
        <f ca="1" xml:space="preserve"> Table1[visc.base]/ Table1[temp.pr] * EXP(Table1[visc.r])</f>
        <v>1.675977757904399E-2</v>
      </c>
      <c r="W39" s="6">
        <f t="shared" si="0"/>
        <v>5.0676308466678632</v>
      </c>
      <c r="X39" s="6">
        <f ca="1">1.938 * Table1[vsg] * (62.4 * liq.sg / if.tens)^0.25</f>
        <v>0.47437633405578755</v>
      </c>
      <c r="Y39" s="6">
        <f t="shared" si="1"/>
        <v>26.681220374524791</v>
      </c>
      <c r="Z39" s="6">
        <f t="shared" si="2"/>
        <v>2.069899451158622E-2</v>
      </c>
      <c r="AA39" s="7">
        <f>10^(-2.69851 + 0.15841 * (LOG10(Table1[NL]) + 3) - 0.551 * (LOG10(Table1[NL])+3)^2 +
               0.54785*(LOG10(Table1[NL]) + 3)^3 - 0.12195 * (LOG10(Table1[NL])+3)^4)</f>
        <v>2.7449344798175105E-3</v>
      </c>
      <c r="AB39" s="10">
        <f ca="1" xml:space="preserve"> Table1[NvL] * Table1[pres]^0.1 *  Table1[CNL]/ (Table1[NvG]^0.575 * pres.atm^0.1 * Table1[ND])</f>
        <v>1.3053625769644094E-3</v>
      </c>
      <c r="AC39" s="5">
        <f ca="1">-0.10307 + 0.61777 * (LOG10(Table1[X2]) + 6) -
    0.63295 * (LOG10(Table1[X2])+6)^2 + 0.29598 * (LOG10(Table1[X2])+6)^3 -
    0.0401 * (LOG10(Table1[X2]) + 6)^4</f>
        <v>0.85058928766870912</v>
      </c>
      <c r="AD39" s="7">
        <f ca="1" xml:space="preserve"> Table1[NvG]* Table1[NL]^0.38 / Table1[ND]^2.14</f>
        <v>9.640588657919127E-5</v>
      </c>
      <c r="AE39" s="7">
        <f ca="1">(Table1[X3]-0.012)/ABS(Table1[X3]-0.012)</f>
        <v>-1</v>
      </c>
      <c r="AF39" s="7">
        <f ca="1">(1-Table1[index])/2*0.012+(1+Table1[index])/2*Table1[X3]</f>
        <v>1.2E-2</v>
      </c>
      <c r="AG39" s="7">
        <f ca="1" xml:space="preserve"> 0.91163 - 4.82176 *
      Table1[X3.mod]+ 1232.25 * Table1[X3.mod]^2 -
      22253.6 * Table1[X3.mod]^3 + 116174 * Table1[X3.mod]^4</f>
        <v>0.99516764326399998</v>
      </c>
      <c r="AH39" s="7">
        <f ca="1">Table1[YL.psi] * Table1[psi]</f>
        <v>0.84647893679487374</v>
      </c>
      <c r="AI39" s="7">
        <f ca="1">liq.visc^Table1[YL] * Table1[gas.visc]^(1-Table1[YL])</f>
        <v>1.9247776243671786</v>
      </c>
      <c r="AJ39" s="3">
        <f ca="1">0.022 * mass.rt / diam.ft / Table1[mix.visc]</f>
        <v>15685.251427041854</v>
      </c>
      <c r="AK39" s="7">
        <f ca="1">1 / (-4 * LOG(ed/3.7065-5.0452 / Table1[Re] * LOG(ed^1.1098 / 2.8257 + (7.149 / Table1[Re])^0.8981)))^2</f>
        <v>7.1676645449239504E-3</v>
      </c>
      <c r="AL39" s="5">
        <f ca="1">28.97 * gas.sg * Table1[pres] / (Table1[z] * 10.74 * (460 + Table1[temp]))</f>
        <v>7.6163992959407354</v>
      </c>
      <c r="AM39" s="5">
        <f ca="1">62.4 * liq.sg * Table1[YL]</f>
        <v>44.768656981003133</v>
      </c>
      <c r="AN39" s="5">
        <f ca="1">Table1[gas.dens] * (1 - Table1[YL])</f>
        <v>1.1692777177075968</v>
      </c>
      <c r="AO39" s="5">
        <f ca="1">Table1[liq.avgdens] + Table1[gas.avgdens]</f>
        <v>45.937934698710727</v>
      </c>
      <c r="AP39" s="5">
        <f ca="1">1 / 144 * Table1[mix.avgdens]</f>
        <v>0.31901343540771337</v>
      </c>
      <c r="AQ39" s="5">
        <f ca="1">1 / 144 * Table1[ff] * mass.rt^2 / 7.413 / 10000000000 / diam.ft^5 / Table1[mix.avgdens]</f>
        <v>5.9905056442495514E-3</v>
      </c>
      <c r="AR39">
        <f ca="1">Table1[elev.grad] + Table1[fric.grad]</f>
        <v>0.32500394105196295</v>
      </c>
    </row>
    <row r="40" spans="3:44" x14ac:dyDescent="0.25">
      <c r="C40">
        <f>ROW()-ROW(Table1[])+1</f>
        <v>21</v>
      </c>
      <c r="D40" s="3">
        <f>IF(Table1[[#This Row],[row]]=1,0,depth/(segments-1)+D39)</f>
        <v>6689.6551724137917</v>
      </c>
      <c r="E40" s="3">
        <f ca="1">IF(Table1[[#This Row],[row]]=1,0, Table1[[#This Row],[depth]]-OFFSET(Table1[[#This Row],[depth]],-1,0))</f>
        <v>334.48275862068931</v>
      </c>
      <c r="F40" s="3">
        <f ca="1">IF(Table1[[#This Row],[row]]=1,thp,OFFSET(Table1[[#This Row],[dp.dz]],-1,0)*Table1[[#This Row],[dL]]+OFFSET(Table1[[#This Row],[pres]],-1,0))</f>
        <v>2063.1539244906476</v>
      </c>
      <c r="G40" s="2">
        <f>IF(Table1[[#This Row],[row]]=1,tht,tht+(bht-tht)/depth*Table1[[#This Row],[depth]])</f>
        <v>148.9655172413793</v>
      </c>
      <c r="H40" s="6">
        <f ca="1">Table1[[#This Row],[pres]]/pres.pc</f>
        <v>3.0885537791776163</v>
      </c>
      <c r="I40" s="6">
        <f>(Table1[[#This Row],[temp]]+460)/temp.pc</f>
        <v>1.5649008512139058</v>
      </c>
      <c r="J40" s="6">
        <f>1/Table1[[#This Row],[temp.pr]]</f>
        <v>0.63901812004530012</v>
      </c>
      <c r="K40" s="6">
        <f>0.06125 * Table1[temp.r] * EXP(-1.2 * (1 - Table1[temp.r])^2)</f>
        <v>3.3474095803340612E-2</v>
      </c>
      <c r="L40" s="6">
        <f>Table1[[#This Row],[temp.r]] * (14.76 - 9.76 *Table1[[#This Row],[temp.r]] + 4.58 * Table1[[#This Row],[temp.r]]^2)</f>
        <v>6.6415705396117328</v>
      </c>
      <c r="M40" s="6">
        <f xml:space="preserve"> Table1[[#This Row],[temp.r]] * (90.7 - 242.2 * Table1[[#This Row],[temp.r]] + 42.4 * Table1[[#This Row],[temp.r]]^2)</f>
        <v>-29.878184519014244</v>
      </c>
      <c r="N40" s="6">
        <f>2.18 + 2.82 * Table1[[#This Row],[temp.r]]</f>
        <v>3.9820310985277465</v>
      </c>
      <c r="O40" s="6">
        <v>0.12906273899849957</v>
      </c>
      <c r="P40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7.9304329621085988E-4</v>
      </c>
      <c r="Q40" s="6">
        <f ca="1" xml:space="preserve"> Table1[A] * Table1[pres.pr] / Table1[Y]</f>
        <v>0.80105649314604399</v>
      </c>
      <c r="R40" s="6">
        <f ca="1">1 / area * gas.rt * Table1[[#This Row],[z]] * (460 + Table1[[#This Row],[temp]]) / (460 + 60) * (14.7 / Table1[[#This Row],[pres]]) / 86400</f>
        <v>0.20260107453506634</v>
      </c>
      <c r="S40" s="6">
        <f ca="1" xml:space="preserve"> vsl + Table1[[#This Row],[vsg]]</f>
        <v>2.4719017083734034</v>
      </c>
      <c r="T40" s="6">
        <f>8.188 / 1000 - 6.15 / 1000 *LOG10(gas.sg) +
  (1.709 / 100000 - 2.062 / 1000000 * gas.sg) * Table1[[#This Row],[temp]]</f>
        <v>1.1471450915981287E-2</v>
      </c>
      <c r="U40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0.84860396434267504</v>
      </c>
      <c r="V40" s="6">
        <f ca="1" xml:space="preserve"> Table1[visc.base]/ Table1[temp.pr] * EXP(Table1[visc.r])</f>
        <v>1.7126773073953962E-2</v>
      </c>
      <c r="W40" s="6">
        <f t="shared" si="0"/>
        <v>5.0676308466678632</v>
      </c>
      <c r="X40" s="6">
        <f ca="1">1.938 * Table1[vsg] * (62.4 * liq.sg / if.tens)^0.25</f>
        <v>0.45243342357216249</v>
      </c>
      <c r="Y40" s="6">
        <f t="shared" si="1"/>
        <v>26.681220374524791</v>
      </c>
      <c r="Z40" s="6">
        <f t="shared" si="2"/>
        <v>2.069899451158622E-2</v>
      </c>
      <c r="AA40" s="7">
        <f>10^(-2.69851 + 0.15841 * (LOG10(Table1[NL]) + 3) - 0.551 * (LOG10(Table1[NL])+3)^2 +
               0.54785*(LOG10(Table1[NL]) + 3)^3 - 0.12195 * (LOG10(Table1[NL])+3)^4)</f>
        <v>2.7449344798175105E-3</v>
      </c>
      <c r="AB40" s="10">
        <f ca="1" xml:space="preserve"> Table1[NvL] * Table1[pres]^0.1 *  Table1[CNL]/ (Table1[NvG]^0.575 * pres.atm^0.1 * Table1[ND])</f>
        <v>1.3486794855752174E-3</v>
      </c>
      <c r="AC40" s="5">
        <f ca="1">-0.10307 + 0.61777 * (LOG10(Table1[X2]) + 6) -
    0.63295 * (LOG10(Table1[X2])+6)^2 + 0.29598 * (LOG10(Table1[X2])+6)^3 -
    0.0401 * (LOG10(Table1[X2]) + 6)^4</f>
        <v>0.85681317481119068</v>
      </c>
      <c r="AD40" s="7">
        <f ca="1" xml:space="preserve"> Table1[NvG]* Table1[NL]^0.38 / Table1[ND]^2.14</f>
        <v>9.1946503622171896E-5</v>
      </c>
      <c r="AE40" s="7">
        <f ca="1">(Table1[X3]-0.012)/ABS(Table1[X3]-0.012)</f>
        <v>-1</v>
      </c>
      <c r="AF40" s="7">
        <f ca="1">(1-Table1[index])/2*0.012+(1+Table1[index])/2*Table1[X3]</f>
        <v>1.2E-2</v>
      </c>
      <c r="AG40" s="7">
        <f ca="1" xml:space="preserve"> 0.91163 - 4.82176 *
      Table1[X3.mod]+ 1232.25 * Table1[X3.mod]^2 -
      22253.6 * Table1[X3.mod]^3 + 116174 * Table1[X3.mod]^4</f>
        <v>0.99516764326399998</v>
      </c>
      <c r="AH40" s="7">
        <f ca="1">Table1[YL.psi] * Table1[psi]</f>
        <v>0.85267274789439829</v>
      </c>
      <c r="AI40" s="7">
        <f ca="1">liq.visc^Table1[YL] * Table1[gas.visc]^(1-Table1[YL])</f>
        <v>1.9991282543012825</v>
      </c>
      <c r="AJ40" s="3">
        <f ca="1">0.022 * mass.rt / diam.ft / Table1[mix.visc]</f>
        <v>15101.892994802114</v>
      </c>
      <c r="AK40" s="7">
        <f ca="1">1 / (-4 * LOG(ed/3.7065-5.0452 / Table1[Re] * LOG(ed^1.1098 / 2.8257 + (7.149 / Table1[Re])^0.8981)))^2</f>
        <v>7.2282400279436434E-3</v>
      </c>
      <c r="AL40" s="5">
        <f ca="1">28.97 * gas.sg * Table1[pres] / (Table1[z] * 10.74 * (460 + Table1[temp]))</f>
        <v>7.9857928006001373</v>
      </c>
      <c r="AM40" s="5">
        <f ca="1">62.4 * liq.sg * Table1[YL]</f>
        <v>45.09623584028305</v>
      </c>
      <c r="AN40" s="5">
        <f ca="1">Table1[gas.dens] * (1 - Table1[YL])</f>
        <v>1.1765249091971155</v>
      </c>
      <c r="AO40" s="5">
        <f ca="1">Table1[liq.avgdens] + Table1[gas.avgdens]</f>
        <v>46.272760749480163</v>
      </c>
      <c r="AP40" s="5">
        <f ca="1">1 / 144 * Table1[mix.avgdens]</f>
        <v>0.32133861631583444</v>
      </c>
      <c r="AQ40" s="5">
        <f ca="1">1 / 144 * Table1[ff] * mass.rt^2 / 7.413 / 10000000000 / diam.ft^5 / Table1[mix.avgdens]</f>
        <v>5.9974195426153037E-3</v>
      </c>
      <c r="AR40">
        <f ca="1">Table1[elev.grad] + Table1[fric.grad]</f>
        <v>0.32733603585844973</v>
      </c>
    </row>
    <row r="41" spans="3:44" x14ac:dyDescent="0.25">
      <c r="C41">
        <f>ROW()-ROW(Table1[])+1</f>
        <v>22</v>
      </c>
      <c r="D41" s="3">
        <f>IF(Table1[[#This Row],[row]]=1,0,depth/(segments-1)+D40)</f>
        <v>7024.137931034481</v>
      </c>
      <c r="E41" s="3">
        <f ca="1">IF(Table1[[#This Row],[row]]=1,0, Table1[[#This Row],[depth]]-OFFSET(Table1[[#This Row],[depth]],-1,0))</f>
        <v>334.48275862068931</v>
      </c>
      <c r="F41" s="3">
        <f ca="1">IF(Table1[[#This Row],[row]]=1,thp,OFFSET(Table1[[#This Row],[dp.dz]],-1,0)*Table1[[#This Row],[dL]]+OFFSET(Table1[[#This Row],[pres]],-1,0))</f>
        <v>2172.6421847605425</v>
      </c>
      <c r="G41" s="2">
        <f>IF(Table1[[#This Row],[row]]=1,tht,tht+(bht-tht)/depth*Table1[[#This Row],[depth]])</f>
        <v>152.41379310344826</v>
      </c>
      <c r="H41" s="6">
        <f ca="1">Table1[[#This Row],[pres]]/pres.pc</f>
        <v>3.2524583604199737</v>
      </c>
      <c r="I41" s="6">
        <f>(Table1[[#This Row],[temp]]+460)/temp.pc</f>
        <v>1.5737621244370876</v>
      </c>
      <c r="J41" s="6">
        <f>1/Table1[[#This Row],[temp.pr]]</f>
        <v>0.63542004504504501</v>
      </c>
      <c r="K41" s="6">
        <f>0.06125 * Table1[temp.r] * EXP(-1.2 * (1 - Table1[temp.r])^2)</f>
        <v>3.3181503150430308E-2</v>
      </c>
      <c r="L41" s="6">
        <f>Table1[[#This Row],[temp.r]] * (14.76 - 9.76 *Table1[[#This Row],[temp.r]] + 4.58 * Table1[[#This Row],[temp.r]]^2)</f>
        <v>6.6131435881247267</v>
      </c>
      <c r="M41" s="6">
        <f xml:space="preserve"> Table1[[#This Row],[temp.r]] * (90.7 - 242.2 * Table1[[#This Row],[temp.r]] + 42.4 * Table1[[#This Row],[temp.r]]^2)</f>
        <v>-29.279754626094999</v>
      </c>
      <c r="N41" s="6">
        <f>2.18 + 2.82 * Table1[[#This Row],[temp.r]]</f>
        <v>3.9718845270270271</v>
      </c>
      <c r="O41" s="6">
        <v>0.13441129908478305</v>
      </c>
      <c r="P41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8.4267776798498117E-4</v>
      </c>
      <c r="Q41" s="6">
        <f ca="1" xml:space="preserve"> Table1[A] * Table1[pres.pr] / Table1[Y]</f>
        <v>0.80291953182332365</v>
      </c>
      <c r="R41" s="6">
        <f ca="1">1 / area * gas.rt * Table1[[#This Row],[z]] * (460 + Table1[[#This Row],[temp]]) / (460 + 60) * (14.7 / Table1[[#This Row],[pres]]) / 86400</f>
        <v>0.19393058471368405</v>
      </c>
      <c r="S41" s="6">
        <f ca="1" xml:space="preserve"> vsl + Table1[[#This Row],[vsg]]</f>
        <v>2.4632312185520213</v>
      </c>
      <c r="T41" s="6">
        <f>8.188 / 1000 - 6.15 / 1000 *LOG10(gas.sg) +
  (1.709 / 100000 - 2.062 / 1000000 * gas.sg) * Table1[[#This Row],[temp]]</f>
        <v>1.1525404709084735E-2</v>
      </c>
      <c r="U41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0.87032911547314651</v>
      </c>
      <c r="V41" s="6">
        <f ca="1" xml:space="preserve"> Table1[visc.base]/ Table1[temp.pr] * EXP(Table1[visc.r])</f>
        <v>1.7486231659907432E-2</v>
      </c>
      <c r="W41" s="6">
        <f t="shared" si="0"/>
        <v>5.0676308466678632</v>
      </c>
      <c r="X41" s="6">
        <f ca="1">1.938 * Table1[vsg] * (62.4 * liq.sg / if.tens)^0.25</f>
        <v>0.43307114031212668</v>
      </c>
      <c r="Y41" s="6">
        <f t="shared" si="1"/>
        <v>26.681220374524791</v>
      </c>
      <c r="Z41" s="6">
        <f t="shared" si="2"/>
        <v>2.069899451158622E-2</v>
      </c>
      <c r="AA41" s="7">
        <f>10^(-2.69851 + 0.15841 * (LOG10(Table1[NL]) + 3) - 0.551 * (LOG10(Table1[NL])+3)^2 +
               0.54785*(LOG10(Table1[NL]) + 3)^3 - 0.12195 * (LOG10(Table1[NL])+3)^4)</f>
        <v>2.7449344798175105E-3</v>
      </c>
      <c r="AB41" s="10">
        <f ca="1" xml:space="preserve"> Table1[NvL] * Table1[pres]^0.1 *  Table1[CNL]/ (Table1[NvG]^0.575 * pres.atm^0.1 * Table1[ND])</f>
        <v>1.3901984050496365E-3</v>
      </c>
      <c r="AC41" s="5">
        <f ca="1">-0.10307 + 0.61777 * (LOG10(Table1[X2]) + 6) -
    0.63295 * (LOG10(Table1[X2])+6)^2 + 0.29598 * (LOG10(Table1[X2])+6)^3 -
    0.0401 * (LOG10(Table1[X2]) + 6)^4</f>
        <v>0.86251804523841491</v>
      </c>
      <c r="AD41" s="7">
        <f ca="1" xml:space="preserve"> Table1[NvG]* Table1[NL]^0.38 / Table1[ND]^2.14</f>
        <v>8.80115727458317E-5</v>
      </c>
      <c r="AE41" s="7">
        <f ca="1">(Table1[X3]-0.012)/ABS(Table1[X3]-0.012)</f>
        <v>-1</v>
      </c>
      <c r="AF41" s="7">
        <f ca="1">(1-Table1[index])/2*0.012+(1+Table1[index])/2*Table1[X3]</f>
        <v>1.2E-2</v>
      </c>
      <c r="AG41" s="7">
        <f ca="1" xml:space="preserve"> 0.91163 - 4.82176 *
      Table1[X3.mod]+ 1232.25 * Table1[X3.mod]^2 -
      22253.6 * Table1[X3.mod]^3 + 116174 * Table1[X3.mod]^4</f>
        <v>0.99516764326399998</v>
      </c>
      <c r="AH41" s="7">
        <f ca="1">Table1[YL.psi] * Table1[psi]</f>
        <v>0.85835005035258549</v>
      </c>
      <c r="AI41" s="7">
        <f ca="1">liq.visc^Table1[YL] * Table1[gas.visc]^(1-Table1[YL])</f>
        <v>2.069579551071179</v>
      </c>
      <c r="AJ41" s="3">
        <f ca="1">0.022 * mass.rt / diam.ft / Table1[mix.visc]</f>
        <v>14587.804060838043</v>
      </c>
      <c r="AK41" s="7">
        <f ca="1">1 / (-4 * LOG(ed/3.7065-5.0452 / Table1[Re] * LOG(ed^1.1098 / 2.8257 + (7.149 / Table1[Re])^0.8981)))^2</f>
        <v>7.2844675195895461E-3</v>
      </c>
      <c r="AL41" s="5">
        <f ca="1">28.97 * gas.sg * Table1[pres] / (Table1[z] * 10.74 * (460 + Table1[temp]))</f>
        <v>8.3428315590584674</v>
      </c>
      <c r="AM41" s="5">
        <f ca="1">62.4 * liq.sg * Table1[YL]</f>
        <v>45.396497542352527</v>
      </c>
      <c r="AN41" s="5">
        <f ca="1">Table1[gas.dens] * (1 - Table1[YL])</f>
        <v>1.1817616702574927</v>
      </c>
      <c r="AO41" s="5">
        <f ca="1">Table1[liq.avgdens] + Table1[gas.avgdens]</f>
        <v>46.578259212610021</v>
      </c>
      <c r="AP41" s="5">
        <f ca="1">1 / 144 * Table1[mix.avgdens]</f>
        <v>0.32346013342090291</v>
      </c>
      <c r="AQ41" s="5">
        <f ca="1">1 / 144 * Table1[ff] * mass.rt^2 / 7.413 / 10000000000 / diam.ft^5 / Table1[mix.avgdens]</f>
        <v>6.0044306594401542E-3</v>
      </c>
      <c r="AR41">
        <f ca="1">Table1[elev.grad] + Table1[fric.grad]</f>
        <v>0.32946456408034308</v>
      </c>
    </row>
    <row r="42" spans="3:44" x14ac:dyDescent="0.25">
      <c r="C42">
        <f>ROW()-ROW(Table1[])+1</f>
        <v>23</v>
      </c>
      <c r="D42" s="3">
        <f>IF(Table1[[#This Row],[row]]=1,0,depth/(segments-1)+D41)</f>
        <v>7358.6206896551703</v>
      </c>
      <c r="E42" s="3">
        <f ca="1">IF(Table1[[#This Row],[row]]=1,0, Table1[[#This Row],[depth]]-OFFSET(Table1[[#This Row],[depth]],-1,0))</f>
        <v>334.48275862068931</v>
      </c>
      <c r="F42" s="3">
        <f ca="1">IF(Table1[[#This Row],[row]]=1,thp,OFFSET(Table1[[#This Row],[dp.dz]],-1,0)*Table1[[#This Row],[dL]]+OFFSET(Table1[[#This Row],[pres]],-1,0))</f>
        <v>2282.8424010218987</v>
      </c>
      <c r="G42" s="2">
        <f>IF(Table1[[#This Row],[row]]=1,tht,tht+(bht-tht)/depth*Table1[[#This Row],[depth]])</f>
        <v>155.86206896551721</v>
      </c>
      <c r="H42" s="6">
        <f ca="1">Table1[[#This Row],[pres]]/pres.pc</f>
        <v>3.4174287440447584</v>
      </c>
      <c r="I42" s="6">
        <f>(Table1[[#This Row],[temp]]+460)/temp.pc</f>
        <v>1.5826233976602695</v>
      </c>
      <c r="J42" s="6">
        <f>1/Table1[[#This Row],[temp.pr]]</f>
        <v>0.63186226203807383</v>
      </c>
      <c r="K42" s="6">
        <f>0.06125 * Table1[temp.r] * EXP(-1.2 * (1 - Table1[temp.r])^2)</f>
        <v>3.2892659852416614E-2</v>
      </c>
      <c r="L42" s="6">
        <f>Table1[[#This Row],[temp.r]] * (14.76 - 9.76 *Table1[[#This Row],[temp.r]] + 4.58 * Table1[[#This Row],[temp.r]]^2)</f>
        <v>6.5850087665934893</v>
      </c>
      <c r="M42" s="6">
        <f xml:space="preserve"> Table1[[#This Row],[temp.r]] * (90.7 - 242.2 * Table1[[#This Row],[temp.r]] + 42.4 * Table1[[#This Row],[temp.r]]^2)</f>
        <v>-28.692134465841697</v>
      </c>
      <c r="N42" s="6">
        <f>2.18 + 2.82 * Table1[[#This Row],[temp.r]]</f>
        <v>3.9618515789473685</v>
      </c>
      <c r="O42" s="6">
        <v>0.13944992839877818</v>
      </c>
      <c r="P42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8.3865546202871281E-4</v>
      </c>
      <c r="Q42" s="6">
        <f ca="1" xml:space="preserve"> Table1[A] * Table1[pres.pr] / Table1[Y]</f>
        <v>0.80608375019230527</v>
      </c>
      <c r="R42" s="6">
        <f ca="1">1 / area * gas.rt * Table1[[#This Row],[z]] * (460 + Table1[[#This Row],[temp]]) / (460 + 60) * (14.7 / Table1[[#This Row],[pres]]) / 86400</f>
        <v>0.18633962659306588</v>
      </c>
      <c r="S42" s="6">
        <f ca="1" xml:space="preserve"> vsl + Table1[[#This Row],[vsg]]</f>
        <v>2.4556402604314029</v>
      </c>
      <c r="T42" s="6">
        <f>8.188 / 1000 - 6.15 / 1000 *LOG10(gas.sg) +
  (1.709 / 100000 - 2.062 / 1000000 * gas.sg) * Table1[[#This Row],[temp]]</f>
        <v>1.1579358502188183E-2</v>
      </c>
      <c r="U42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0.89118951655662038</v>
      </c>
      <c r="V42" s="6">
        <f ca="1" xml:space="preserve"> Table1[visc.base]/ Table1[temp.pr] * EXP(Table1[visc.r])</f>
        <v>1.7837977318543301E-2</v>
      </c>
      <c r="W42" s="6">
        <f t="shared" si="0"/>
        <v>5.0676308466678632</v>
      </c>
      <c r="X42" s="6">
        <f ca="1">1.938 * Table1[vsg] * (62.4 * liq.sg / if.tens)^0.25</f>
        <v>0.41611958574320085</v>
      </c>
      <c r="Y42" s="6">
        <f t="shared" si="1"/>
        <v>26.681220374524791</v>
      </c>
      <c r="Z42" s="6">
        <f t="shared" si="2"/>
        <v>2.069899451158622E-2</v>
      </c>
      <c r="AA42" s="7">
        <f>10^(-2.69851 + 0.15841 * (LOG10(Table1[NL]) + 3) - 0.551 * (LOG10(Table1[NL])+3)^2 +
               0.54785*(LOG10(Table1[NL]) + 3)^3 - 0.12195 * (LOG10(Table1[NL])+3)^4)</f>
        <v>2.7449344798175105E-3</v>
      </c>
      <c r="AB42" s="10">
        <f ca="1" xml:space="preserve"> Table1[NvL] * Table1[pres]^0.1 *  Table1[CNL]/ (Table1[NvG]^0.575 * pres.atm^0.1 * Table1[ND])</f>
        <v>1.429541220474705E-3</v>
      </c>
      <c r="AC42" s="5">
        <f ca="1">-0.10307 + 0.61777 * (LOG10(Table1[X2]) + 6) -
    0.63295 * (LOG10(Table1[X2])+6)^2 + 0.29598 * (LOG10(Table1[X2])+6)^3 -
    0.0401 * (LOG10(Table1[X2]) + 6)^4</f>
        <v>0.86770178171371048</v>
      </c>
      <c r="AD42" s="7">
        <f ca="1" xml:space="preserve"> Table1[NvG]* Table1[NL]^0.38 / Table1[ND]^2.14</f>
        <v>8.4566566050112669E-5</v>
      </c>
      <c r="AE42" s="7">
        <f ca="1">(Table1[X3]-0.012)/ABS(Table1[X3]-0.012)</f>
        <v>-1</v>
      </c>
      <c r="AF42" s="7">
        <f ca="1">(1-Table1[index])/2*0.012+(1+Table1[index])/2*Table1[X3]</f>
        <v>1.2E-2</v>
      </c>
      <c r="AG42" s="7">
        <f ca="1" xml:space="preserve"> 0.91163 - 4.82176 *
      Table1[X3.mod]+ 1232.25 * Table1[X3.mod]^2 -
      22253.6 * Table1[X3.mod]^3 + 116174 * Table1[X3.mod]^4</f>
        <v>0.99516764326399998</v>
      </c>
      <c r="AH42" s="7">
        <f ca="1">Table1[YL.psi] * Table1[psi]</f>
        <v>0.863508737164007</v>
      </c>
      <c r="AI42" s="7">
        <f ca="1">liq.visc^Table1[YL] * Table1[gas.visc]^(1-Table1[YL])</f>
        <v>2.1356129410031111</v>
      </c>
      <c r="AJ42" s="3">
        <f ca="1">0.022 * mass.rt / diam.ft / Table1[mix.visc]</f>
        <v>14136.747534954902</v>
      </c>
      <c r="AK42" s="7">
        <f ca="1">1 / (-4 * LOG(ed/3.7065-5.0452 / Table1[Re] * LOG(ed^1.1098 / 2.8257 + (7.149 / Table1[Re])^0.8981)))^2</f>
        <v>7.3361875223491172E-3</v>
      </c>
      <c r="AL42" s="5">
        <f ca="1">28.97 * gas.sg * Table1[pres] / (Table1[z] * 10.74 * (460 + Table1[temp]))</f>
        <v>8.6826953128400834</v>
      </c>
      <c r="AM42" s="5">
        <f ca="1">62.4 * liq.sg * Table1[YL]</f>
        <v>45.669330651711896</v>
      </c>
      <c r="AN42" s="5">
        <f ca="1">Table1[gas.dens] * (1 - Table1[YL])</f>
        <v>1.1851120480697004</v>
      </c>
      <c r="AO42" s="5">
        <f ca="1">Table1[liq.avgdens] + Table1[gas.avgdens]</f>
        <v>46.854442699781593</v>
      </c>
      <c r="AP42" s="5">
        <f ca="1">1 / 144 * Table1[mix.avgdens]</f>
        <v>0.32537807430403881</v>
      </c>
      <c r="AQ42" s="5">
        <f ca="1">1 / 144 * Table1[ff] * mass.rt^2 / 7.413 / 10000000000 / diam.ft^5 / Table1[mix.avgdens]</f>
        <v>6.0114179449403237E-3</v>
      </c>
      <c r="AR42">
        <f ca="1">Table1[elev.grad] + Table1[fric.grad]</f>
        <v>0.33138949224897912</v>
      </c>
    </row>
    <row r="43" spans="3:44" x14ac:dyDescent="0.25">
      <c r="C43">
        <f>ROW()-ROW(Table1[])+1</f>
        <v>24</v>
      </c>
      <c r="D43" s="3">
        <f>IF(Table1[[#This Row],[row]]=1,0,depth/(segments-1)+D42)</f>
        <v>7693.1034482758596</v>
      </c>
      <c r="E43" s="3">
        <f ca="1">IF(Table1[[#This Row],[row]]=1,0, Table1[[#This Row],[depth]]-OFFSET(Table1[[#This Row],[depth]],-1,0))</f>
        <v>334.48275862068931</v>
      </c>
      <c r="F43" s="3">
        <f ca="1">IF(Table1[[#This Row],[row]]=1,thp,OFFSET(Table1[[#This Row],[dp.dz]],-1,0)*Table1[[#This Row],[dL]]+OFFSET(Table1[[#This Row],[pres]],-1,0))</f>
        <v>2393.6864725672467</v>
      </c>
      <c r="G43" s="2">
        <f>IF(Table1[[#This Row],[row]]=1,tht,tht+(bht-tht)/depth*Table1[[#This Row],[depth]])</f>
        <v>159.31034482758616</v>
      </c>
      <c r="H43" s="6">
        <f ca="1">Table1[[#This Row],[pres]]/pres.pc</f>
        <v>3.5833629828850997</v>
      </c>
      <c r="I43" s="6">
        <f>(Table1[[#This Row],[temp]]+460)/temp.pc</f>
        <v>1.5914846708834511</v>
      </c>
      <c r="J43" s="6">
        <f>1/Table1[[#This Row],[temp.pr]]</f>
        <v>0.62834409799554569</v>
      </c>
      <c r="K43" s="6">
        <f>0.06125 * Table1[temp.r] * EXP(-1.2 * (1 - Table1[temp.r])^2)</f>
        <v>3.2607514964966278E-2</v>
      </c>
      <c r="L43" s="6">
        <f>Table1[[#This Row],[temp.r]] * (14.76 - 9.76 *Table1[[#This Row],[temp.r]] + 4.58 * Table1[[#This Row],[temp.r]]^2)</f>
        <v>6.5571604135499921</v>
      </c>
      <c r="M43" s="6">
        <f xml:space="preserve"> Table1[[#This Row],[temp.r]] * (90.7 - 242.2 * Table1[[#This Row],[temp.r]] + 42.4 * Table1[[#This Row],[temp.r]]^2)</f>
        <v>-28.115086497869569</v>
      </c>
      <c r="N43" s="6">
        <f>2.18 + 2.82 * Table1[[#This Row],[temp.r]]</f>
        <v>3.9519303563474386</v>
      </c>
      <c r="O43" s="6">
        <v>0.1432272989309184</v>
      </c>
      <c r="P43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6.3726353254928841E-6</v>
      </c>
      <c r="Q43" s="6">
        <f ca="1" xml:space="preserve"> Table1[A] * Table1[pres.pr] / Table1[Y]</f>
        <v>0.81579812620559666</v>
      </c>
      <c r="R43" s="6">
        <f ca="1">1 / area * gas.rt * Table1[[#This Row],[z]] * (460 + Table1[[#This Row],[temp]]) / (460 + 60) * (14.7 / Table1[[#This Row],[pres]]) / 86400</f>
        <v>0.18085948954429026</v>
      </c>
      <c r="S43" s="6">
        <f ca="1" xml:space="preserve"> vsl + Table1[[#This Row],[vsg]]</f>
        <v>2.4501601233826276</v>
      </c>
      <c r="T43" s="6">
        <f>8.188 / 1000 - 6.15 / 1000 *LOG10(gas.sg) +
  (1.709 / 100000 - 2.062 / 1000000 * gas.sg) * Table1[[#This Row],[temp]]</f>
        <v>1.1633312295291631E-2</v>
      </c>
      <c r="U43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0.91122081322791915</v>
      </c>
      <c r="V43" s="6">
        <f ca="1" xml:space="preserve"> Table1[visc.base]/ Table1[temp.pr] * EXP(Table1[visc.r])</f>
        <v>1.818189301402217E-2</v>
      </c>
      <c r="W43" s="6">
        <f t="shared" si="0"/>
        <v>5.0676308466678632</v>
      </c>
      <c r="X43" s="6">
        <f ca="1">1.938 * Table1[vsg] * (62.4 * liq.sg / if.tens)^0.25</f>
        <v>0.40388175742806492</v>
      </c>
      <c r="Y43" s="6">
        <f t="shared" si="1"/>
        <v>26.681220374524791</v>
      </c>
      <c r="Z43" s="6">
        <f t="shared" si="2"/>
        <v>2.069899451158622E-2</v>
      </c>
      <c r="AA43" s="7">
        <f>10^(-2.69851 + 0.15841 * (LOG10(Table1[NL]) + 3) - 0.551 * (LOG10(Table1[NL])+3)^2 +
               0.54785*(LOG10(Table1[NL]) + 3)^3 - 0.12195 * (LOG10(Table1[NL])+3)^4)</f>
        <v>2.7449344798175105E-3</v>
      </c>
      <c r="AB43" s="10">
        <f ca="1" xml:space="preserve"> Table1[NvL] * Table1[pres]^0.1 *  Table1[CNL]/ (Table1[NvG]^0.575 * pres.atm^0.1 * Table1[ND])</f>
        <v>1.4612013682797295E-3</v>
      </c>
      <c r="AC43" s="5">
        <f ca="1">-0.10307 + 0.61777 * (LOG10(Table1[X2]) + 6) -
    0.63295 * (LOG10(Table1[X2])+6)^2 + 0.29598 * (LOG10(Table1[X2])+6)^3 -
    0.0401 * (LOG10(Table1[X2]) + 6)^4</f>
        <v>0.87172418602806179</v>
      </c>
      <c r="AD43" s="7">
        <f ca="1" xml:space="preserve"> Table1[NvG]* Table1[NL]^0.38 / Table1[ND]^2.14</f>
        <v>8.2079513885352157E-5</v>
      </c>
      <c r="AE43" s="7">
        <f ca="1">(Table1[X3]-0.012)/ABS(Table1[X3]-0.012)</f>
        <v>-1</v>
      </c>
      <c r="AF43" s="7">
        <f ca="1">(1-Table1[index])/2*0.012+(1+Table1[index])/2*Table1[X3]</f>
        <v>1.2E-2</v>
      </c>
      <c r="AG43" s="7">
        <f ca="1" xml:space="preserve"> 0.91163 - 4.82176 *
      Table1[X3.mod]+ 1232.25 * Table1[X3.mod]^2 -
      22253.6 * Table1[X3.mod]^3 + 116174 * Table1[X3.mod]^4</f>
        <v>0.99516764326399998</v>
      </c>
      <c r="AH43" s="7">
        <f ca="1">Table1[YL.psi] * Table1[psi]</f>
        <v>0.86751170378577491</v>
      </c>
      <c r="AI43" s="7">
        <f ca="1">liq.visc^Table1[YL] * Table1[gas.visc]^(1-Table1[YL])</f>
        <v>2.1890472566318664</v>
      </c>
      <c r="AJ43" s="3">
        <f ca="1">0.022 * mass.rt / diam.ft / Table1[mix.visc]</f>
        <v>13791.671645223279</v>
      </c>
      <c r="AK43" s="7">
        <f ca="1">1 / (-4 * LOG(ed/3.7065-5.0452 / Table1[Re] * LOG(ed^1.1098 / 2.8257 + (7.149 / Table1[Re])^0.8981)))^2</f>
        <v>7.3773754977041689E-3</v>
      </c>
      <c r="AL43" s="5">
        <f ca="1">28.97 * gas.sg * Table1[pres] / (Table1[z] * 10.74 * (460 + Table1[temp]))</f>
        <v>8.9457855183195871</v>
      </c>
      <c r="AM43" s="5">
        <f ca="1">62.4 * liq.sg * Table1[YL]</f>
        <v>45.881039923858566</v>
      </c>
      <c r="AN43" s="5">
        <f ca="1">Table1[gas.dens] * (1 - Table1[YL])</f>
        <v>1.1852118816200505</v>
      </c>
      <c r="AO43" s="5">
        <f ca="1">Table1[liq.avgdens] + Table1[gas.avgdens]</f>
        <v>47.066251805478615</v>
      </c>
      <c r="AP43" s="5">
        <f ca="1">1 / 144 * Table1[mix.avgdens]</f>
        <v>0.32684897087137926</v>
      </c>
      <c r="AQ43" s="5">
        <f ca="1">1 / 144 * Table1[ff] * mass.rt^2 / 7.413 / 10000000000 / diam.ft^5 / Table1[mix.avgdens]</f>
        <v>6.0179635248480447E-3</v>
      </c>
      <c r="AR43">
        <f ca="1">Table1[elev.grad] + Table1[fric.grad]</f>
        <v>0.33286693439622733</v>
      </c>
    </row>
    <row r="44" spans="3:44" x14ac:dyDescent="0.25">
      <c r="C44">
        <f>ROW()-ROW(Table1[])+1</f>
        <v>25</v>
      </c>
      <c r="D44" s="3">
        <f>IF(Table1[[#This Row],[row]]=1,0,depth/(segments-1)+D43)</f>
        <v>8027.5862068965489</v>
      </c>
      <c r="E44" s="3">
        <f ca="1">IF(Table1[[#This Row],[row]]=1,0, Table1[[#This Row],[depth]]-OFFSET(Table1[[#This Row],[depth]],-1,0))</f>
        <v>334.48275862068931</v>
      </c>
      <c r="F44" s="3">
        <f ca="1">IF(Table1[[#This Row],[row]]=1,thp,OFFSET(Table1[[#This Row],[dp.dz]],-1,0)*Table1[[#This Row],[dL]]+OFFSET(Table1[[#This Row],[pres]],-1,0))</f>
        <v>2505.024723037709</v>
      </c>
      <c r="G44" s="2">
        <f>IF(Table1[[#This Row],[row]]=1,tht,tht+(bht-tht)/depth*Table1[[#This Row],[depth]])</f>
        <v>162.75862068965515</v>
      </c>
      <c r="H44" s="6">
        <f ca="1">Table1[[#This Row],[pres]]/pres.pc</f>
        <v>3.7500370105354923</v>
      </c>
      <c r="I44" s="6">
        <f>(Table1[[#This Row],[temp]]+460)/temp.pc</f>
        <v>1.600345944106633</v>
      </c>
      <c r="J44" s="6">
        <f>1/Table1[[#This Row],[temp.pr]]</f>
        <v>0.62486489479512741</v>
      </c>
      <c r="K44" s="6">
        <f>0.06125 * Table1[temp.r] * EXP(-1.2 * (1 - Table1[temp.r])^2)</f>
        <v>3.2326017840965546E-2</v>
      </c>
      <c r="L44" s="6">
        <f>Table1[[#This Row],[temp.r]] * (14.76 - 9.76 *Table1[[#This Row],[temp.r]] + 4.58 * Table1[[#This Row],[temp.r]]^2)</f>
        <v>6.5295930367953234</v>
      </c>
      <c r="M44" s="6">
        <f xml:space="preserve"> Table1[[#This Row],[temp.r]] * (90.7 - 242.2 * Table1[[#This Row],[temp.r]] + 42.4 * Table1[[#This Row],[temp.r]]^2)</f>
        <v>-27.548379451109273</v>
      </c>
      <c r="N44" s="6">
        <f>2.18 + 2.82 * Table1[[#This Row],[temp.r]]</f>
        <v>3.9421190033222593</v>
      </c>
      <c r="O44" s="6">
        <v>0.14780976168402249</v>
      </c>
      <c r="P44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1.2310472031443198E-5</v>
      </c>
      <c r="Q44" s="6">
        <f ca="1" xml:space="preserve"> Table1[A] * Table1[pres.pr] / Table1[Y]</f>
        <v>0.82013367673236104</v>
      </c>
      <c r="R44" s="6">
        <f ca="1">1 / area * gas.rt * Table1[[#This Row],[z]] * (460 + Table1[[#This Row],[temp]]) / (460 + 60) * (14.7 / Table1[[#This Row],[pres]]) / 86400</f>
        <v>0.17470683877127743</v>
      </c>
      <c r="S44" s="6">
        <f ca="1" xml:space="preserve"> vsl + Table1[[#This Row],[vsg]]</f>
        <v>2.4440074726096146</v>
      </c>
      <c r="T44" s="6">
        <f>8.188 / 1000 - 6.15 / 1000 *LOG10(gas.sg) +
  (1.709 / 100000 - 2.062 / 1000000 * gas.sg) * Table1[[#This Row],[temp]]</f>
        <v>1.1687266088395079E-2</v>
      </c>
      <c r="U44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0.93044286819578081</v>
      </c>
      <c r="V44" s="6">
        <f ca="1" xml:space="preserve"> Table1[visc.base]/ Table1[temp.pr] * EXP(Table1[visc.r])</f>
        <v>1.851762401093815E-2</v>
      </c>
      <c r="W44" s="6">
        <f t="shared" si="0"/>
        <v>5.0676308466678632</v>
      </c>
      <c r="X44" s="6">
        <f ca="1">1.938 * Table1[vsg] * (62.4 * liq.sg / if.tens)^0.25</f>
        <v>0.39014212223774758</v>
      </c>
      <c r="Y44" s="6">
        <f t="shared" si="1"/>
        <v>26.681220374524791</v>
      </c>
      <c r="Z44" s="6">
        <f t="shared" si="2"/>
        <v>2.069899451158622E-2</v>
      </c>
      <c r="AA44" s="7">
        <f>10^(-2.69851 + 0.15841 * (LOG10(Table1[NL]) + 3) - 0.551 * (LOG10(Table1[NL])+3)^2 +
               0.54785*(LOG10(Table1[NL]) + 3)^3 - 0.12195 * (LOG10(Table1[NL])+3)^4)</f>
        <v>2.7449344798175105E-3</v>
      </c>
      <c r="AB44" s="10">
        <f ca="1" xml:space="preserve"> Table1[NvL] * Table1[pres]^0.1 *  Table1[CNL]/ (Table1[NvG]^0.575 * pres.atm^0.1 * Table1[ND])</f>
        <v>1.4973647244273763E-3</v>
      </c>
      <c r="AC44" s="5">
        <f ca="1">-0.10307 + 0.61777 * (LOG10(Table1[X2]) + 6) -
    0.63295 * (LOG10(Table1[X2])+6)^2 + 0.29598 * (LOG10(Table1[X2])+6)^3 -
    0.0401 * (LOG10(Table1[X2]) + 6)^4</f>
        <v>0.87616367475524637</v>
      </c>
      <c r="AD44" s="7">
        <f ca="1" xml:space="preserve"> Table1[NvG]* Table1[NL]^0.38 / Table1[ND]^2.14</f>
        <v>7.9287254624709055E-5</v>
      </c>
      <c r="AE44" s="7">
        <f ca="1">(Table1[X3]-0.012)/ABS(Table1[X3]-0.012)</f>
        <v>-1</v>
      </c>
      <c r="AF44" s="7">
        <f ca="1">(1-Table1[index])/2*0.012+(1+Table1[index])/2*Table1[X3]</f>
        <v>1.2E-2</v>
      </c>
      <c r="AG44" s="7">
        <f ca="1" xml:space="preserve"> 0.91163 - 4.82176 *
      Table1[X3.mod]+ 1232.25 * Table1[X3.mod]^2 -
      22253.6 * Table1[X3.mod]^3 + 116174 * Table1[X3.mod]^4</f>
        <v>0.99516764326399998</v>
      </c>
      <c r="AH44" s="7">
        <f ca="1">Table1[YL.psi] * Table1[psi]</f>
        <v>0.8719297393197043</v>
      </c>
      <c r="AI44" s="7">
        <f ca="1">liq.visc^Table1[YL] * Table1[gas.visc]^(1-Table1[YL])</f>
        <v>2.2483757804894018</v>
      </c>
      <c r="AJ44" s="3">
        <f ca="1">0.022 * mass.rt / diam.ft / Table1[mix.visc]</f>
        <v>13427.746927949898</v>
      </c>
      <c r="AK44" s="7">
        <f ca="1">1 / (-4 * LOG(ed/3.7065-5.0452 / Table1[Re] * LOG(ed^1.1098 / 2.8257 + (7.149 / Table1[Re])^0.8981)))^2</f>
        <v>7.4224397708208371E-3</v>
      </c>
      <c r="AL44" s="5">
        <f ca="1">28.97 * gas.sg * Table1[pres] / (Table1[z] * 10.74 * (460 + Table1[temp]))</f>
        <v>9.2608292485570356</v>
      </c>
      <c r="AM44" s="5">
        <f ca="1">62.4 * liq.sg * Table1[YL]</f>
        <v>46.114701399355269</v>
      </c>
      <c r="AN44" s="5">
        <f ca="1">Table1[gas.dens] * (1 - Table1[YL])</f>
        <v>1.1860368159784065</v>
      </c>
      <c r="AO44" s="5">
        <f ca="1">Table1[liq.avgdens] + Table1[gas.avgdens]</f>
        <v>47.300738215333674</v>
      </c>
      <c r="AP44" s="5">
        <f ca="1">1 / 144 * Table1[mix.avgdens]</f>
        <v>0.32847734871759493</v>
      </c>
      <c r="AQ44" s="5">
        <f ca="1">1 / 144 * Table1[ff] * mass.rt^2 / 7.413 / 10000000000 / diam.ft^5 / Table1[mix.avgdens]</f>
        <v>6.0247085105019681E-3</v>
      </c>
      <c r="AR44">
        <f ca="1">Table1[elev.grad] + Table1[fric.grad]</f>
        <v>0.33450205722809689</v>
      </c>
    </row>
    <row r="45" spans="3:44" x14ac:dyDescent="0.25">
      <c r="C45">
        <f>ROW()-ROW(Table1[])+1</f>
        <v>26</v>
      </c>
      <c r="D45" s="3">
        <f>IF(Table1[[#This Row],[row]]=1,0,depth/(segments-1)+D44)</f>
        <v>8362.0689655172391</v>
      </c>
      <c r="E45" s="3">
        <f ca="1">IF(Table1[[#This Row],[row]]=1,0, Table1[[#This Row],[depth]]-OFFSET(Table1[[#This Row],[depth]],-1,0))</f>
        <v>334.48275862069022</v>
      </c>
      <c r="F45" s="3">
        <f ca="1">IF(Table1[[#This Row],[row]]=1,thp,OFFSET(Table1[[#This Row],[dp.dz]],-1,0)*Table1[[#This Row],[dL]]+OFFSET(Table1[[#This Row],[pres]],-1,0))</f>
        <v>2616.9098939036589</v>
      </c>
      <c r="G45" s="2">
        <f>IF(Table1[[#This Row],[row]]=1,tht,tht+(bht-tht)/depth*Table1[[#This Row],[depth]])</f>
        <v>166.20689655172413</v>
      </c>
      <c r="H45" s="6">
        <f ca="1">Table1[[#This Row],[pres]]/pres.pc</f>
        <v>3.9175297812929024</v>
      </c>
      <c r="I45" s="6">
        <f>(Table1[[#This Row],[temp]]+460)/temp.pc</f>
        <v>1.6092072173298151</v>
      </c>
      <c r="J45" s="6">
        <f>1/Table1[[#This Row],[temp.pr]]</f>
        <v>0.62142400881057258</v>
      </c>
      <c r="K45" s="6">
        <f>0.06125 * Table1[temp.r] * EXP(-1.2 * (1 - Table1[temp.r])^2)</f>
        <v>3.2048118162787409E-2</v>
      </c>
      <c r="L45" s="6">
        <f>Table1[[#This Row],[temp.r]] * (14.76 - 9.76 *Table1[[#This Row],[temp.r]] + 4.58 * Table1[[#This Row],[temp.r]]^2)</f>
        <v>6.5023013068119138</v>
      </c>
      <c r="M45" s="6">
        <f xml:space="preserve"> Table1[[#This Row],[temp.r]] * (90.7 - 242.2 * Table1[[#This Row],[temp.r]] + 42.4 * Table1[[#This Row],[temp.r]]^2)</f>
        <v>-26.991788130308514</v>
      </c>
      <c r="N45" s="6">
        <f>2.18 + 2.82 * Table1[[#This Row],[temp.r]]</f>
        <v>3.9324157048458148</v>
      </c>
      <c r="O45" s="6">
        <v>0.15302326381369249</v>
      </c>
      <c r="P45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7.7450085597406335E-4</v>
      </c>
      <c r="Q45" s="6">
        <f ca="1" xml:space="preserve"> Table1[A] * Table1[pres.pr] / Table1[Y]</f>
        <v>0.82045993666669859</v>
      </c>
      <c r="R45" s="6">
        <f ca="1">1 / area * gas.rt * Table1[[#This Row],[z]] * (460 + Table1[[#This Row],[temp]]) / (460 + 60) * (14.7 / Table1[[#This Row],[pres]]) / 86400</f>
        <v>0.1682302090614487</v>
      </c>
      <c r="S45" s="6">
        <f ca="1" xml:space="preserve"> vsl + Table1[[#This Row],[vsg]]</f>
        <v>2.4375308428997862</v>
      </c>
      <c r="T45" s="6">
        <f>8.188 / 1000 - 6.15 / 1000 *LOG10(gas.sg) +
  (1.709 / 100000 - 2.062 / 1000000 * gas.sg) * Table1[[#This Row],[temp]]</f>
        <v>1.1741219881498528E-2</v>
      </c>
      <c r="U45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0.94891531634865767</v>
      </c>
      <c r="V45" s="6">
        <f ca="1" xml:space="preserve"> Table1[visc.base]/ Table1[temp.pr] * EXP(Table1[visc.r])</f>
        <v>1.8845598538771578E-2</v>
      </c>
      <c r="W45" s="6">
        <f t="shared" si="0"/>
        <v>5.0676308466678632</v>
      </c>
      <c r="X45" s="6">
        <f ca="1">1.938 * Table1[vsg] * (62.4 * liq.sg / if.tens)^0.25</f>
        <v>0.37567900174566043</v>
      </c>
      <c r="Y45" s="6">
        <f t="shared" si="1"/>
        <v>26.681220374524791</v>
      </c>
      <c r="Z45" s="6">
        <f t="shared" si="2"/>
        <v>2.069899451158622E-2</v>
      </c>
      <c r="AA45" s="7">
        <f>10^(-2.69851 + 0.15841 * (LOG10(Table1[NL]) + 3) - 0.551 * (LOG10(Table1[NL])+3)^2 +
               0.54785*(LOG10(Table1[NL]) + 3)^3 - 0.12195 * (LOG10(Table1[NL])+3)^4)</f>
        <v>2.7449344798175105E-3</v>
      </c>
      <c r="AB45" s="10">
        <f ca="1" xml:space="preserve"> Table1[NvL] * Table1[pres]^0.1 *  Table1[CNL]/ (Table1[NvG]^0.575 * pres.atm^0.1 * Table1[ND])</f>
        <v>1.5369462419239381E-3</v>
      </c>
      <c r="AC45" s="5">
        <f ca="1">-0.10307 + 0.61777 * (LOG10(Table1[X2]) + 6) -
    0.63295 * (LOG10(Table1[X2])+6)^2 + 0.29598 * (LOG10(Table1[X2])+6)^3 -
    0.0401 * (LOG10(Table1[X2]) + 6)^4</f>
        <v>0.88084195453535763</v>
      </c>
      <c r="AD45" s="7">
        <f ca="1" xml:space="preserve"> Table1[NvG]* Table1[NL]^0.38 / Table1[ND]^2.14</f>
        <v>7.6347963910477606E-5</v>
      </c>
      <c r="AE45" s="7">
        <f ca="1">(Table1[X3]-0.012)/ABS(Table1[X3]-0.012)</f>
        <v>-1</v>
      </c>
      <c r="AF45" s="7">
        <f ca="1">(1-Table1[index])/2*0.012+(1+Table1[index])/2*Table1[X3]</f>
        <v>1.2E-2</v>
      </c>
      <c r="AG45" s="7">
        <f ca="1" xml:space="preserve"> 0.91163 - 4.82176 *
      Table1[X3.mod]+ 1232.25 * Table1[X3.mod]^2 -
      22253.6 * Table1[X3.mod]^3 + 116174 * Table1[X3.mod]^4</f>
        <v>0.99516764326399998</v>
      </c>
      <c r="AH45" s="7">
        <f ca="1">Table1[YL.psi] * Table1[psi]</f>
        <v>0.87658541198300732</v>
      </c>
      <c r="AI45" s="7">
        <f ca="1">liq.visc^Table1[YL] * Table1[gas.visc]^(1-Table1[YL])</f>
        <v>2.311739724880745</v>
      </c>
      <c r="AJ45" s="3">
        <f ca="1">0.022 * mass.rt / diam.ft / Table1[mix.visc]</f>
        <v>13059.697272322019</v>
      </c>
      <c r="AK45" s="7">
        <f ca="1">1 / (-4 * LOG(ed/3.7065-5.0452 / Table1[Re] * LOG(ed^1.1098 / 2.8257 + (7.149 / Table1[Re])^0.8981)))^2</f>
        <v>7.4698248264311318E-3</v>
      </c>
      <c r="AL45" s="5">
        <f ca="1">28.97 * gas.sg * Table1[pres] / (Table1[z] * 10.74 * (460 + Table1[temp]))</f>
        <v>9.6173583296505925</v>
      </c>
      <c r="AM45" s="5">
        <f ca="1">62.4 * liq.sg * Table1[YL]</f>
        <v>46.360931049520509</v>
      </c>
      <c r="AN45" s="5">
        <f ca="1">Table1[gas.dens] * (1 - Table1[YL])</f>
        <v>1.1869223160656208</v>
      </c>
      <c r="AO45" s="5">
        <f ca="1">Table1[liq.avgdens] + Table1[gas.avgdens]</f>
        <v>47.547853365586128</v>
      </c>
      <c r="AP45" s="5">
        <f ca="1">1 / 144 * Table1[mix.avgdens]</f>
        <v>0.33019342614990366</v>
      </c>
      <c r="AQ45" s="5">
        <f ca="1">1 / 144 * Table1[ff] * mass.rt^2 / 7.413 / 10000000000 / diam.ft^5 / Table1[mix.avgdens]</f>
        <v>6.0316589733472254E-3</v>
      </c>
      <c r="AR45">
        <f ca="1">Table1[elev.grad] + Table1[fric.grad]</f>
        <v>0.33622508512325089</v>
      </c>
    </row>
    <row r="46" spans="3:44" x14ac:dyDescent="0.25">
      <c r="C46">
        <f>ROW()-ROW(Table1[])+1</f>
        <v>27</v>
      </c>
      <c r="D46" s="3">
        <f>IF(Table1[[#This Row],[row]]=1,0,depth/(segments-1)+D45)</f>
        <v>8696.5517241379293</v>
      </c>
      <c r="E46" s="3">
        <f ca="1">IF(Table1[[#This Row],[row]]=1,0, Table1[[#This Row],[depth]]-OFFSET(Table1[[#This Row],[depth]],-1,0))</f>
        <v>334.48275862069022</v>
      </c>
      <c r="F46" s="3">
        <f ca="1">IF(Table1[[#This Row],[row]]=1,thp,OFFSET(Table1[[#This Row],[dp.dz]],-1,0)*Table1[[#This Row],[dL]]+OFFSET(Table1[[#This Row],[pres]],-1,0))</f>
        <v>2729.3713878931603</v>
      </c>
      <c r="G46" s="2">
        <f>IF(Table1[[#This Row],[row]]=1,tht,tht+(bht-tht)/depth*Table1[[#This Row],[depth]])</f>
        <v>169.65517241379308</v>
      </c>
      <c r="H46" s="6">
        <f ca="1">Table1[[#This Row],[pres]]/pres.pc</f>
        <v>4.0858853112173055</v>
      </c>
      <c r="I46" s="6">
        <f>(Table1[[#This Row],[temp]]+460)/temp.pc</f>
        <v>1.6180684905529965</v>
      </c>
      <c r="J46" s="6">
        <f>1/Table1[[#This Row],[temp.pr]]</f>
        <v>0.61802081051478641</v>
      </c>
      <c r="K46" s="6">
        <f>0.06125 * Table1[temp.r] * EXP(-1.2 * (1 - Table1[temp.r])^2)</f>
        <v>3.1773765971625886E-2</v>
      </c>
      <c r="L46" s="6">
        <f>Table1[[#This Row],[temp.r]] * (14.76 - 9.76 *Table1[[#This Row],[temp.r]] + 4.58 * Table1[[#This Row],[temp.r]]^2)</f>
        <v>6.4752800504787746</v>
      </c>
      <c r="M46" s="6">
        <f xml:space="preserve"> Table1[[#This Row],[temp.r]] * (90.7 - 242.2 * Table1[[#This Row],[temp.r]] + 42.4 * Table1[[#This Row],[temp.r]]^2)</f>
        <v>-26.445093229355599</v>
      </c>
      <c r="N46" s="6">
        <f>2.18 + 2.82 * Table1[[#This Row],[temp.r]]</f>
        <v>3.9228186856516976</v>
      </c>
      <c r="O46" s="6">
        <v>0.15698328013754781</v>
      </c>
      <c r="P46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6.7668831755872058E-4</v>
      </c>
      <c r="Q46" s="6">
        <f ca="1" xml:space="preserve"> Table1[A] * Table1[pres.pr] / Table1[Y]</f>
        <v>0.82699229849046008</v>
      </c>
      <c r="R46" s="6">
        <f ca="1">1 / area * gas.rt * Table1[[#This Row],[z]] * (460 + Table1[[#This Row],[temp]]) / (460 + 60) * (14.7 / Table1[[#This Row],[pres]]) / 86400</f>
        <v>0.16347793163115201</v>
      </c>
      <c r="S46" s="6">
        <f ca="1" xml:space="preserve"> vsl + Table1[[#This Row],[vsg]]</f>
        <v>2.4327785654694893</v>
      </c>
      <c r="T46" s="6">
        <f>8.188 / 1000 - 6.15 / 1000 *LOG10(gas.sg) +
  (1.709 / 100000 - 2.062 / 1000000 * gas.sg) * Table1[[#This Row],[temp]]</f>
        <v>1.1795173674601976E-2</v>
      </c>
      <c r="U46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0.96669028929334377</v>
      </c>
      <c r="V46" s="6">
        <f ca="1" xml:space="preserve"> Table1[visc.base]/ Table1[temp.pr] * EXP(Table1[visc.r])</f>
        <v>1.9166185957666386E-2</v>
      </c>
      <c r="W46" s="6">
        <f t="shared" si="0"/>
        <v>5.0676308466678632</v>
      </c>
      <c r="X46" s="6">
        <f ca="1">1.938 * Table1[vsg] * (62.4 * liq.sg / if.tens)^0.25</f>
        <v>0.36506657457819391</v>
      </c>
      <c r="Y46" s="6">
        <f t="shared" si="1"/>
        <v>26.681220374524791</v>
      </c>
      <c r="Z46" s="6">
        <f t="shared" si="2"/>
        <v>2.069899451158622E-2</v>
      </c>
      <c r="AA46" s="7">
        <f>10^(-2.69851 + 0.15841 * (LOG10(Table1[NL]) + 3) - 0.551 * (LOG10(Table1[NL])+3)^2 +
               0.54785*(LOG10(Table1[NL]) + 3)^3 - 0.12195 * (LOG10(Table1[NL])+3)^4)</f>
        <v>2.7449344798175105E-3</v>
      </c>
      <c r="AB46" s="10">
        <f ca="1" xml:space="preserve"> Table1[NvL] * Table1[pres]^0.1 *  Table1[CNL]/ (Table1[NvG]^0.575 * pres.atm^0.1 * Table1[ND])</f>
        <v>1.569068316072139E-3</v>
      </c>
      <c r="AC46" s="5">
        <f ca="1">-0.10307 + 0.61777 * (LOG10(Table1[X2]) + 6) -
    0.63295 * (LOG10(Table1[X2])+6)^2 + 0.29598 * (LOG10(Table1[X2])+6)^3 -
    0.0401 * (LOG10(Table1[X2]) + 6)^4</f>
        <v>0.88450593604655303</v>
      </c>
      <c r="AD46" s="7">
        <f ca="1" xml:space="preserve"> Table1[NvG]* Table1[NL]^0.38 / Table1[ND]^2.14</f>
        <v>7.4191236484618314E-5</v>
      </c>
      <c r="AE46" s="7">
        <f ca="1">(Table1[X3]-0.012)/ABS(Table1[X3]-0.012)</f>
        <v>-1</v>
      </c>
      <c r="AF46" s="7">
        <f ca="1">(1-Table1[index])/2*0.012+(1+Table1[index])/2*Table1[X3]</f>
        <v>1.2E-2</v>
      </c>
      <c r="AG46" s="7">
        <f ca="1" xml:space="preserve"> 0.91163 - 4.82176 *
      Table1[X3.mod]+ 1232.25 * Table1[X3.mod]^2 -
      22253.6 * Table1[X3.mod]^3 + 116174 * Table1[X3.mod]^4</f>
        <v>0.99516764326399998</v>
      </c>
      <c r="AH46" s="7">
        <f ca="1">Table1[YL.psi] * Table1[psi]</f>
        <v>0.8802316878284665</v>
      </c>
      <c r="AI46" s="7">
        <f ca="1">liq.visc^Table1[YL] * Table1[gas.visc]^(1-Table1[YL])</f>
        <v>2.3632228738677337</v>
      </c>
      <c r="AJ46" s="3">
        <f ca="1">0.022 * mass.rt / diam.ft / Table1[mix.visc]</f>
        <v>12775.189895624397</v>
      </c>
      <c r="AK46" s="7">
        <f ca="1">1 / (-4 * LOG(ed/3.7065-5.0452 / Table1[Re] * LOG(ed^1.1098 / 2.8257 + (7.149 / Table1[Re])^0.8981)))^2</f>
        <v>7.5077807112413726E-3</v>
      </c>
      <c r="AL46" s="5">
        <f ca="1">28.97 * gas.sg * Table1[pres] / (Table1[z] * 10.74 * (460 + Table1[temp]))</f>
        <v>9.8969334042373891</v>
      </c>
      <c r="AM46" s="5">
        <f ca="1">62.4 * liq.sg * Table1[YL]</f>
        <v>46.553775626612492</v>
      </c>
      <c r="AN46" s="5">
        <f ca="1">Table1[gas.dens] * (1 - Table1[YL])</f>
        <v>1.1853390094995813</v>
      </c>
      <c r="AO46" s="5">
        <f ca="1">Table1[liq.avgdens] + Table1[gas.avgdens]</f>
        <v>47.73911463611207</v>
      </c>
      <c r="AP46" s="5">
        <f ca="1">1 / 144 * Table1[mix.avgdens]</f>
        <v>0.3315216294174449</v>
      </c>
      <c r="AQ46" s="5">
        <f ca="1">1 / 144 * Table1[ff] * mass.rt^2 / 7.413 / 10000000000 / diam.ft^5 / Table1[mix.avgdens]</f>
        <v>6.0380192728390443E-3</v>
      </c>
      <c r="AR46">
        <f ca="1">Table1[elev.grad] + Table1[fric.grad]</f>
        <v>0.33755964869028393</v>
      </c>
    </row>
    <row r="47" spans="3:44" x14ac:dyDescent="0.25">
      <c r="C47">
        <f>ROW()-ROW(Table1[])+1</f>
        <v>28</v>
      </c>
      <c r="D47" s="3">
        <f>IF(Table1[[#This Row],[row]]=1,0,depth/(segments-1)+D46)</f>
        <v>9031.0344827586196</v>
      </c>
      <c r="E47" s="3">
        <f ca="1">IF(Table1[[#This Row],[row]]=1,0, Table1[[#This Row],[depth]]-OFFSET(Table1[[#This Row],[depth]],-1,0))</f>
        <v>334.48275862069022</v>
      </c>
      <c r="F47" s="3">
        <f ca="1">IF(Table1[[#This Row],[row]]=1,thp,OFFSET(Table1[[#This Row],[dp.dz]],-1,0)*Table1[[#This Row],[dL]]+OFFSET(Table1[[#This Row],[pres]],-1,0))</f>
        <v>2842.2792703861173</v>
      </c>
      <c r="G47" s="2">
        <f>IF(Table1[[#This Row],[row]]=1,tht,tht+(bht-tht)/depth*Table1[[#This Row],[depth]])</f>
        <v>173.10344827586204</v>
      </c>
      <c r="H47" s="6">
        <f ca="1">Table1[[#This Row],[pres]]/pres.pc</f>
        <v>4.2549090874043669</v>
      </c>
      <c r="I47" s="6">
        <f>(Table1[[#This Row],[temp]]+460)/temp.pc</f>
        <v>1.6269297637761786</v>
      </c>
      <c r="J47" s="6">
        <f>1/Table1[[#This Row],[temp.pr]]</f>
        <v>0.61465468409586055</v>
      </c>
      <c r="K47" s="6">
        <f>0.06125 * Table1[temp.r] * EXP(-1.2 * (1 - Table1[temp.r])^2)</f>
        <v>3.1502911694095324E-2</v>
      </c>
      <c r="L47" s="6">
        <f>Table1[[#This Row],[temp.r]] * (14.76 - 9.76 *Table1[[#This Row],[temp.r]] + 4.58 * Table1[[#This Row],[temp.r]]^2)</f>
        <v>6.4485242450740596</v>
      </c>
      <c r="M47" s="6">
        <f xml:space="preserve"> Table1[[#This Row],[temp.r]] * (90.7 - 242.2 * Table1[[#This Row],[temp.r]] + 42.4 * Table1[[#This Row],[temp.r]]^2)</f>
        <v>-25.908081151155685</v>
      </c>
      <c r="N47" s="6">
        <f>2.18 + 2.82 * Table1[[#This Row],[temp.r]]</f>
        <v>3.9133262091503269</v>
      </c>
      <c r="O47" s="6">
        <v>0.16066156778045929</v>
      </c>
      <c r="P47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5.2809757878831062E-4</v>
      </c>
      <c r="Q47" s="6">
        <f ca="1" xml:space="preserve"> Table1[A] * Table1[pres.pr] / Table1[Y]</f>
        <v>0.83431294178623461</v>
      </c>
      <c r="R47" s="6">
        <f ca="1">1 / area * gas.rt * Table1[[#This Row],[z]] * (460 + Table1[[#This Row],[temp]]) / (460 + 60) * (14.7 / Table1[[#This Row],[pres]]) / 86400</f>
        <v>0.15924083274461859</v>
      </c>
      <c r="S47" s="6">
        <f ca="1" xml:space="preserve"> vsl + Table1[[#This Row],[vsg]]</f>
        <v>2.4285414665829559</v>
      </c>
      <c r="T47" s="6">
        <f>8.188 / 1000 - 6.15 / 1000 *LOG10(gas.sg) +
  (1.709 / 100000 - 2.062 / 1000000 * gas.sg) * Table1[[#This Row],[temp]]</f>
        <v>1.1849127467705424E-2</v>
      </c>
      <c r="U47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0.9837891613848857</v>
      </c>
      <c r="V47" s="6">
        <f ca="1" xml:space="preserve"> Table1[visc.base]/ Table1[temp.pr] * EXP(Table1[visc.r])</f>
        <v>1.9479229356808493E-2</v>
      </c>
      <c r="W47" s="6">
        <f t="shared" si="0"/>
        <v>5.0676308466678632</v>
      </c>
      <c r="X47" s="6">
        <f ca="1">1.938 * Table1[vsg] * (62.4 * liq.sg / if.tens)^0.25</f>
        <v>0.35560460523944631</v>
      </c>
      <c r="Y47" s="6">
        <f t="shared" si="1"/>
        <v>26.681220374524791</v>
      </c>
      <c r="Z47" s="6">
        <f t="shared" si="2"/>
        <v>2.069899451158622E-2</v>
      </c>
      <c r="AA47" s="7">
        <f>10^(-2.69851 + 0.15841 * (LOG10(Table1[NL]) + 3) - 0.551 * (LOG10(Table1[NL])+3)^2 +
               0.54785*(LOG10(Table1[NL]) + 3)^3 - 0.12195 * (LOG10(Table1[NL])+3)^4)</f>
        <v>2.7449344798175105E-3</v>
      </c>
      <c r="AB47" s="10">
        <f ca="1" xml:space="preserve"> Table1[NvL] * Table1[pres]^0.1 *  Table1[CNL]/ (Table1[NvG]^0.575 * pres.atm^0.1 * Table1[ND])</f>
        <v>1.5994105756589698E-3</v>
      </c>
      <c r="AC47" s="5">
        <f ca="1">-0.10307 + 0.61777 * (LOG10(Table1[X2]) + 6) -
    0.63295 * (LOG10(Table1[X2])+6)^2 + 0.29598 * (LOG10(Table1[X2])+6)^3 -
    0.0401 * (LOG10(Table1[X2]) + 6)^4</f>
        <v>0.88786234575364098</v>
      </c>
      <c r="AD47" s="7">
        <f ca="1" xml:space="preserve"> Table1[NvG]* Table1[NL]^0.38 / Table1[ND]^2.14</f>
        <v>7.2268312684672147E-5</v>
      </c>
      <c r="AE47" s="7">
        <f ca="1">(Table1[X3]-0.012)/ABS(Table1[X3]-0.012)</f>
        <v>-1</v>
      </c>
      <c r="AF47" s="7">
        <f ca="1">(1-Table1[index])/2*0.012+(1+Table1[index])/2*Table1[X3]</f>
        <v>1.2E-2</v>
      </c>
      <c r="AG47" s="7">
        <f ca="1" xml:space="preserve"> 0.91163 - 4.82176 *
      Table1[X3.mod]+ 1232.25 * Table1[X3.mod]^2 -
      22253.6 * Table1[X3.mod]^3 + 116174 * Table1[X3.mod]^4</f>
        <v>0.99516764326399998</v>
      </c>
      <c r="AH47" s="7">
        <f ca="1">Table1[YL.psi] * Table1[psi]</f>
        <v>0.88357187816649763</v>
      </c>
      <c r="AI47" s="7">
        <f ca="1">liq.visc^Table1[YL] * Table1[gas.visc]^(1-Table1[YL])</f>
        <v>2.4113398277690492</v>
      </c>
      <c r="AJ47" s="3">
        <f ca="1">0.022 * mass.rt / diam.ft / Table1[mix.visc]</f>
        <v>12520.268040061206</v>
      </c>
      <c r="AK47" s="7">
        <f ca="1">1 / (-4 * LOG(ed/3.7065-5.0452 / Table1[Re] * LOG(ed^1.1098 / 2.8257 + (7.149 / Table1[Re])^0.8981)))^2</f>
        <v>7.5428291147651523E-3</v>
      </c>
      <c r="AL47" s="5">
        <f ca="1">28.97 * gas.sg * Table1[pres] / (Table1[z] * 10.74 * (460 + Table1[temp]))</f>
        <v>10.160272177241932</v>
      </c>
      <c r="AM47" s="5">
        <f ca="1">62.4 * liq.sg * Table1[YL]</f>
        <v>46.730431924831535</v>
      </c>
      <c r="AN47" s="5">
        <f ca="1">Table1[gas.dens] * (1 - Table1[YL])</f>
        <v>1.1829414069134681</v>
      </c>
      <c r="AO47" s="5">
        <f ca="1">Table1[liq.avgdens] + Table1[gas.avgdens]</f>
        <v>47.913373331745007</v>
      </c>
      <c r="AP47" s="5">
        <f ca="1">1 / 144 * Table1[mix.avgdens]</f>
        <v>0.33273175924822918</v>
      </c>
      <c r="AQ47" s="5">
        <f ca="1">1 / 144 * Table1[ff] * mass.rt^2 / 7.413 / 10000000000 / diam.ft^5 / Table1[mix.avgdens]</f>
        <v>6.0441439134036098E-3</v>
      </c>
      <c r="AR47">
        <f ca="1">Table1[elev.grad] + Table1[fric.grad]</f>
        <v>0.33877590316163281</v>
      </c>
    </row>
    <row r="48" spans="3:44" x14ac:dyDescent="0.25">
      <c r="C48">
        <f>ROW()-ROW(Table1[])+1</f>
        <v>29</v>
      </c>
      <c r="D48" s="3">
        <f>IF(Table1[[#This Row],[row]]=1,0,depth/(segments-1)+D47)</f>
        <v>9365.5172413793098</v>
      </c>
      <c r="E48" s="3">
        <f ca="1">IF(Table1[[#This Row],[row]]=1,0, Table1[[#This Row],[depth]]-OFFSET(Table1[[#This Row],[depth]],-1,0))</f>
        <v>334.48275862069022</v>
      </c>
      <c r="F48" s="3">
        <f ca="1">IF(Table1[[#This Row],[row]]=1,thp,OFFSET(Table1[[#This Row],[dp.dz]],-1,0)*Table1[[#This Row],[dL]]+OFFSET(Table1[[#This Row],[pres]],-1,0))</f>
        <v>2955.593969029836</v>
      </c>
      <c r="G48" s="2">
        <f>IF(Table1[[#This Row],[row]]=1,tht,tht+(bht-tht)/depth*Table1[[#This Row],[depth]])</f>
        <v>176.55172413793105</v>
      </c>
      <c r="H48" s="6">
        <f ca="1">Table1[[#This Row],[pres]]/pres.pc</f>
        <v>4.424541869805144</v>
      </c>
      <c r="I48" s="6">
        <f>(Table1[[#This Row],[temp]]+460)/temp.pc</f>
        <v>1.6357910369993602</v>
      </c>
      <c r="J48" s="6">
        <f>1/Table1[[#This Row],[temp.pr]]</f>
        <v>0.61132502708559044</v>
      </c>
      <c r="K48" s="6">
        <f>0.06125 * Table1[temp.r] * EXP(-1.2 * (1 - Table1[temp.r])^2)</f>
        <v>3.1235506166281159E-2</v>
      </c>
      <c r="L48" s="6">
        <f>Table1[[#This Row],[temp.r]] * (14.76 - 9.76 *Table1[[#This Row],[temp.r]] + 4.58 * Table1[[#This Row],[temp.r]]^2)</f>
        <v>6.4220290125501105</v>
      </c>
      <c r="M48" s="6">
        <f xml:space="preserve"> Table1[[#This Row],[temp.r]] * (90.7 - 242.2 * Table1[[#This Row],[temp.r]] + 42.4 * Table1[[#This Row],[temp.r]]^2)</f>
        <v>-25.380543833802317</v>
      </c>
      <c r="N48" s="6">
        <f>2.18 + 2.82 * Table1[[#This Row],[temp.r]]</f>
        <v>3.9039365763813652</v>
      </c>
      <c r="O48" s="6">
        <v>0.1640610748977655</v>
      </c>
      <c r="P48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3.188811087552236E-4</v>
      </c>
      <c r="Q48" s="6">
        <f ca="1" xml:space="preserve"> Table1[A] * Table1[pres.pr] / Table1[Y]</f>
        <v>0.84238631828658128</v>
      </c>
      <c r="R48" s="6">
        <f ca="1">1 / area * gas.rt * Table1[[#This Row],[z]] * (460 + Table1[[#This Row],[temp]]) / (460 + 60) * (14.7 / Table1[[#This Row],[pres]]) / 86400</f>
        <v>0.15545967663969129</v>
      </c>
      <c r="S48" s="6">
        <f ca="1" xml:space="preserve"> vsl + Table1[[#This Row],[vsg]]</f>
        <v>2.4247603104780286</v>
      </c>
      <c r="T48" s="6">
        <f>8.188 / 1000 - 6.15 / 1000 *LOG10(gas.sg) +
  (1.709 / 100000 - 2.062 / 1000000 * gas.sg) * Table1[[#This Row],[temp]]</f>
        <v>1.1903081260808872E-2</v>
      </c>
      <c r="U48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1.0002495941846512</v>
      </c>
      <c r="V48" s="6">
        <f ca="1" xml:space="preserve"> Table1[visc.base]/ Table1[temp.pr] * EXP(Table1[visc.r])</f>
        <v>1.9784927060771118E-2</v>
      </c>
      <c r="W48" s="6">
        <f t="shared" si="0"/>
        <v>5.0676308466678632</v>
      </c>
      <c r="X48" s="6">
        <f ca="1">1.938 * Table1[vsg] * (62.4 * liq.sg / if.tens)^0.25</f>
        <v>0.34716081289758016</v>
      </c>
      <c r="Y48" s="6">
        <f t="shared" si="1"/>
        <v>26.681220374524791</v>
      </c>
      <c r="Z48" s="6">
        <f t="shared" si="2"/>
        <v>2.069899451158622E-2</v>
      </c>
      <c r="AA48" s="7">
        <f>10^(-2.69851 + 0.15841 * (LOG10(Table1[NL]) + 3) - 0.551 * (LOG10(Table1[NL])+3)^2 +
               0.54785*(LOG10(Table1[NL]) + 3)^3 - 0.12195 * (LOG10(Table1[NL])+3)^4)</f>
        <v>2.7449344798175105E-3</v>
      </c>
      <c r="AB48" s="10">
        <f ca="1" xml:space="preserve"> Table1[NvL] * Table1[pres]^0.1 *  Table1[CNL]/ (Table1[NvG]^0.575 * pres.atm^0.1 * Table1[ND])</f>
        <v>1.6280167046629889E-3</v>
      </c>
      <c r="AC48" s="5">
        <f ca="1">-0.10307 + 0.61777 * (LOG10(Table1[X2]) + 6) -
    0.63295 * (LOG10(Table1[X2])+6)^2 + 0.29598 * (LOG10(Table1[X2])+6)^3 -
    0.0401 * (LOG10(Table1[X2]) + 6)^4</f>
        <v>0.89093711488326477</v>
      </c>
      <c r="AD48" s="7">
        <f ca="1" xml:space="preserve"> Table1[NvG]* Table1[NL]^0.38 / Table1[ND]^2.14</f>
        <v>7.0552309527751477E-5</v>
      </c>
      <c r="AE48" s="7">
        <f ca="1">(Table1[X3]-0.012)/ABS(Table1[X3]-0.012)</f>
        <v>-1</v>
      </c>
      <c r="AF48" s="7">
        <f ca="1">(1-Table1[index])/2*0.012+(1+Table1[index])/2*Table1[X3]</f>
        <v>1.2E-2</v>
      </c>
      <c r="AG48" s="7">
        <f ca="1" xml:space="preserve"> 0.91163 - 4.82176 *
      Table1[X3.mod]+ 1232.25 * Table1[X3.mod]^2 -
      22253.6 * Table1[X3.mod]^3 + 116174 * Table1[X3.mod]^4</f>
        <v>0.99516764326399998</v>
      </c>
      <c r="AH48" s="7">
        <f ca="1">Table1[YL.psi] * Table1[psi]</f>
        <v>0.88663178891480621</v>
      </c>
      <c r="AI48" s="7">
        <f ca="1">liq.visc^Table1[YL] * Table1[gas.visc]^(1-Table1[YL])</f>
        <v>2.4562485223542256</v>
      </c>
      <c r="AJ48" s="3">
        <f ca="1">0.022 * mass.rt / diam.ft / Table1[mix.visc]</f>
        <v>12291.354357907927</v>
      </c>
      <c r="AK48" s="7">
        <f ca="1">1 / (-4 * LOG(ed/3.7065-5.0452 / Table1[Re] * LOG(ed^1.1098 / 2.8257 + (7.149 / Table1[Re])^0.8981)))^2</f>
        <v>7.5751808431974293E-3</v>
      </c>
      <c r="AL48" s="5">
        <f ca="1">28.97 * gas.sg * Table1[pres] / (Table1[z] * 10.74 * (460 + Table1[temp]))</f>
        <v>10.407394620830582</v>
      </c>
      <c r="AM48" s="5">
        <f ca="1">62.4 * liq.sg * Table1[YL]</f>
        <v>46.892264769960804</v>
      </c>
      <c r="AN48" s="5">
        <f ca="1">Table1[gas.dens] * (1 - Table1[YL])</f>
        <v>1.1798677102212318</v>
      </c>
      <c r="AO48" s="5">
        <f ca="1">Table1[liq.avgdens] + Table1[gas.avgdens]</f>
        <v>48.072132480182034</v>
      </c>
      <c r="AP48" s="5">
        <f ca="1">1 / 144 * Table1[mix.avgdens]</f>
        <v>0.33383425333459743</v>
      </c>
      <c r="AQ48" s="5">
        <f ca="1">1 / 144 * Table1[ff] * mass.rt^2 / 7.413 / 10000000000 / diam.ft^5 / Table1[mix.avgdens]</f>
        <v>6.0500211587918564E-3</v>
      </c>
      <c r="AR48">
        <f ca="1">Table1[elev.grad] + Table1[fric.grad]</f>
        <v>0.33988427449338926</v>
      </c>
    </row>
    <row r="49" spans="3:44" x14ac:dyDescent="0.25">
      <c r="C49">
        <f>ROW()-ROW(Table1[])+1</f>
        <v>30</v>
      </c>
      <c r="D49" s="3">
        <f>IF(Table1[[#This Row],[row]]=1,0,depth/(segments-1)+D48)</f>
        <v>9700</v>
      </c>
      <c r="E49" s="3">
        <f ca="1">IF(Table1[[#This Row],[row]]=1,0, Table1[[#This Row],[depth]]-OFFSET(Table1[[#This Row],[depth]],-1,0))</f>
        <v>334.48275862069022</v>
      </c>
      <c r="F49" s="3">
        <f ca="1">IF(Table1[[#This Row],[row]]=1,thp,OFFSET(Table1[[#This Row],[dp.dz]],-1,0)*Table1[[#This Row],[dL]]+OFFSET(Table1[[#This Row],[pres]],-1,0))</f>
        <v>3069.2793987741766</v>
      </c>
      <c r="G49" s="2">
        <f>IF(Table1[[#This Row],[row]]=1,tht,tht+(bht-tht)/depth*Table1[[#This Row],[depth]])</f>
        <v>180</v>
      </c>
      <c r="H49" s="6">
        <f ca="1">Table1[[#This Row],[pres]]/pres.pc</f>
        <v>4.5947296388834982</v>
      </c>
      <c r="I49" s="6">
        <f>(Table1[[#This Row],[temp]]+460)/temp.pc</f>
        <v>1.6446523102225421</v>
      </c>
      <c r="J49" s="6">
        <f>1/Table1[[#This Row],[temp.pr]]</f>
        <v>0.60803125000000002</v>
      </c>
      <c r="K49" s="6">
        <f>0.06125 * Table1[temp.r] * EXP(-1.2 * (1 - Table1[temp.r])^2)</f>
        <v>3.0971500655415565E-2</v>
      </c>
      <c r="L49" s="6">
        <f>Table1[[#This Row],[temp.r]] * (14.76 - 9.76 *Table1[[#This Row],[temp.r]] + 4.58 * Table1[[#This Row],[temp.r]]^2)</f>
        <v>6.3957896140670147</v>
      </c>
      <c r="M49" s="6">
        <f xml:space="preserve"> Table1[[#This Row],[temp.r]] * (90.7 - 242.2 * Table1[[#This Row],[temp.r]] + 42.4 * Table1[[#This Row],[temp.r]]^2)</f>
        <v>-24.862278582797135</v>
      </c>
      <c r="N49" s="6">
        <f>2.18 + 2.82 * Table1[[#This Row],[temp.r]]</f>
        <v>3.8946481250000002</v>
      </c>
      <c r="O49" s="6">
        <v>0.16718691767298835</v>
      </c>
      <c r="P49" s="6">
        <f ca="1">(Table1[[#This Row],[Y]] + Table1[[#This Row],[Y]]^2 + Table1[[#This Row],[Y]]^3 - Table1[[#This Row],[Y]]^4) / (1 - Table1[[#This Row],[Y]])^3 - Table1[A] * Table1[pres.pr] - Table1[B] * Table1[[#This Row],[Y]]^2 + Table1[C] * Table1[[#This Row],[Y]]^Table1[D]</f>
        <v>3.9400094846753914E-5</v>
      </c>
      <c r="Q49" s="6">
        <f ca="1" xml:space="preserve"> Table1[A] * Table1[pres.pr] / Table1[Y]</f>
        <v>0.85117707774529594</v>
      </c>
      <c r="R49" s="6">
        <f ca="1">1 / area * gas.rt * Table1[[#This Row],[z]] * (460 + Table1[[#This Row],[temp]]) / (460 + 60) * (14.7 / Table1[[#This Row],[pres]]) / 86400</f>
        <v>0.15208311437377398</v>
      </c>
      <c r="S49" s="6">
        <f ca="1" xml:space="preserve"> vsl + Table1[[#This Row],[vsg]]</f>
        <v>2.4213837482121114</v>
      </c>
      <c r="T49" s="6">
        <f>8.188 / 1000 - 6.15 / 1000 *LOG10(gas.sg) +
  (1.709 / 100000 - 2.062 / 1000000 * gas.sg) * Table1[[#This Row],[temp]]</f>
        <v>1.195703505391232E-2</v>
      </c>
      <c r="U49" s="6">
        <f ca="1" xml:space="preserve"> (a.0 + a.1 * Table1[[#This Row],[pres.pr]]+ a.2 * Table1[pres.pr]^2 + a.3 * Table1[[#This Row],[pres.pr]]^3 +
    Table1[temp.pr]  * (a.4 + a.5 * Table1[[#This Row],[pres.pr]] + a.6 * Table1[[#This Row],[pres.pr]]^2 + a.7 * Table1[[#This Row],[pres.pr]]^3) +
    Table1[temp.pr]^2 * (a.8 + a.9 * Table1[[#This Row],[pres.pr]] + a.10 * Table1[[#This Row],[pres.pr]]^2 + a.11 * Table1[[#This Row],[pres.pr]]^3) +
    Table1[temp.pr]^3 * (a.12 + a.13 * Table1[pres.pr] + a.14 * Table1[pres.pr]^2 + a.15 * Table1[pres.pr]^3))</f>
        <v>1.0161085353684873</v>
      </c>
      <c r="V49" s="6">
        <f ca="1" xml:space="preserve"> Table1[visc.base]/ Table1[temp.pr] * EXP(Table1[visc.r])</f>
        <v>2.0083515368547362E-2</v>
      </c>
      <c r="W49" s="6">
        <f t="shared" si="0"/>
        <v>5.0676308466678632</v>
      </c>
      <c r="X49" s="6">
        <f ca="1">1.938 * Table1[vsg] * (62.4 * liq.sg / if.tens)^0.25</f>
        <v>0.33962052897075856</v>
      </c>
      <c r="Y49" s="6">
        <f t="shared" si="1"/>
        <v>26.681220374524791</v>
      </c>
      <c r="Z49" s="6">
        <f t="shared" si="2"/>
        <v>2.069899451158622E-2</v>
      </c>
      <c r="AA49" s="7">
        <f>10^(-2.69851 + 0.15841 * (LOG10(Table1[NL]) + 3) - 0.551 * (LOG10(Table1[NL])+3)^2 +
               0.54785*(LOG10(Table1[NL]) + 3)^3 - 0.12195 * (LOG10(Table1[NL])+3)^4)</f>
        <v>2.7449344798175105E-3</v>
      </c>
      <c r="AB49" s="10">
        <f ca="1" xml:space="preserve"> Table1[NvL] * Table1[pres]^0.1 *  Table1[CNL]/ (Table1[NvG]^0.575 * pres.atm^0.1 * Table1[ND])</f>
        <v>1.6549377421361236E-3</v>
      </c>
      <c r="AC49" s="5">
        <f ca="1">-0.10307 + 0.61777 * (LOG10(Table1[X2]) + 6) -
    0.63295 * (LOG10(Table1[X2])+6)^2 + 0.29598 * (LOG10(Table1[X2])+6)^3 -
    0.0401 * (LOG10(Table1[X2]) + 6)^4</f>
        <v>0.8937540626208591</v>
      </c>
      <c r="AD49" s="7">
        <f ca="1" xml:space="preserve"> Table1[NvG]* Table1[NL]^0.38 / Table1[ND]^2.14</f>
        <v>6.9019923308546492E-5</v>
      </c>
      <c r="AE49" s="7">
        <f ca="1">(Table1[X3]-0.012)/ABS(Table1[X3]-0.012)</f>
        <v>-1</v>
      </c>
      <c r="AF49" s="7">
        <f ca="1">(1-Table1[index])/2*0.012+(1+Table1[index])/2*Table1[X3]</f>
        <v>1.2E-2</v>
      </c>
      <c r="AG49" s="7">
        <f ca="1" xml:space="preserve"> 0.91163 - 4.82176 *
      Table1[X3.mod]+ 1232.25 * Table1[X3.mod]^2 -
      22253.6 * Table1[X3.mod]^3 + 116174 * Table1[X3.mod]^4</f>
        <v>0.99516764326399998</v>
      </c>
      <c r="AH49" s="7">
        <f ca="1">Table1[YL.psi] * Table1[psi]</f>
        <v>0.88943512415602577</v>
      </c>
      <c r="AI49" s="7">
        <f ca="1">liq.visc^Table1[YL] * Table1[gas.visc]^(1-Table1[YL])</f>
        <v>2.498113314337659</v>
      </c>
      <c r="AJ49" s="3">
        <f ca="1">0.022 * mass.rt / diam.ft / Table1[mix.visc]</f>
        <v>12085.368908635017</v>
      </c>
      <c r="AK49" s="7">
        <f ca="1">1 / (-4 * LOG(ed/3.7065-5.0452 / Table1[Re] * LOG(ed^1.1098 / 2.8257 + (7.149 / Table1[Re])^0.8981)))^2</f>
        <v>7.6050357180753418E-3</v>
      </c>
      <c r="AL49" s="5">
        <f ca="1">28.97 * gas.sg * Table1[pres] / (Table1[z] * 10.74 * (460 + Table1[temp]))</f>
        <v>10.638460483125069</v>
      </c>
      <c r="AM49" s="5">
        <f ca="1">62.4 * liq.sg * Table1[YL]</f>
        <v>47.040527825734074</v>
      </c>
      <c r="AN49" s="5">
        <f ca="1">Table1[gas.dens] * (1 - Table1[YL])</f>
        <v>1.1762400624877494</v>
      </c>
      <c r="AO49" s="5">
        <f ca="1">Table1[liq.avgdens] + Table1[gas.avgdens]</f>
        <v>48.216767888221824</v>
      </c>
      <c r="AP49" s="5">
        <f ca="1">1 / 144 * Table1[mix.avgdens]</f>
        <v>0.33483866589042932</v>
      </c>
      <c r="AQ49" s="5">
        <f ca="1">1 / 144 * Table1[ff] * mass.rt^2 / 7.413 / 10000000000 / diam.ft^5 / Table1[mix.avgdens]</f>
        <v>6.055645441385777E-3</v>
      </c>
      <c r="AR49">
        <f ca="1">Table1[elev.grad] + Table1[fric.grad]</f>
        <v>0.34089431133181508</v>
      </c>
    </row>
    <row r="50" spans="3:44" x14ac:dyDescent="0.25">
      <c r="C50" s="4"/>
      <c r="D50" s="3"/>
    </row>
    <row r="51" spans="3:44" x14ac:dyDescent="0.25">
      <c r="C51" s="4"/>
      <c r="D51" s="3"/>
    </row>
    <row r="52" spans="3:44" x14ac:dyDescent="0.25">
      <c r="C52" s="4"/>
      <c r="D52" s="3"/>
    </row>
    <row r="53" spans="3:44" x14ac:dyDescent="0.25">
      <c r="C53" s="4"/>
      <c r="D53" s="3"/>
    </row>
    <row r="54" spans="3:44" x14ac:dyDescent="0.25">
      <c r="C54" s="4"/>
      <c r="D54" s="3"/>
    </row>
    <row r="55" spans="3:44" x14ac:dyDescent="0.25">
      <c r="C55" s="4"/>
      <c r="D55" s="3"/>
    </row>
    <row r="56" spans="3:44" x14ac:dyDescent="0.25">
      <c r="C56" s="4"/>
      <c r="D56" s="3"/>
    </row>
    <row r="57" spans="3:44" x14ac:dyDescent="0.25">
      <c r="C57" s="4"/>
      <c r="D57" s="3"/>
    </row>
    <row r="58" spans="3:44" x14ac:dyDescent="0.25">
      <c r="C58" s="4"/>
      <c r="D58" s="3"/>
    </row>
    <row r="59" spans="3:44" x14ac:dyDescent="0.25">
      <c r="C59" s="4"/>
      <c r="D59" s="3"/>
    </row>
    <row r="60" spans="3:44" x14ac:dyDescent="0.25">
      <c r="C60" s="4"/>
      <c r="D60" s="3"/>
    </row>
    <row r="61" spans="3:44" x14ac:dyDescent="0.25">
      <c r="C61" s="4"/>
      <c r="D6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5" r:id="rId4" name="Button 281">
              <controlPr defaultSize="0" print="0" autoFill="0" autoPict="0" macro="[0]!FindRoot">
                <anchor moveWithCells="1" sizeWithCells="1">
                  <from>
                    <xdr:col>6</xdr:col>
                    <xdr:colOff>647700</xdr:colOff>
                    <xdr:row>8</xdr:row>
                    <xdr:rowOff>0</xdr:rowOff>
                  </from>
                  <to>
                    <xdr:col>9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Sheet1</vt:lpstr>
      <vt:lpstr>a.0</vt:lpstr>
      <vt:lpstr>a.1</vt:lpstr>
      <vt:lpstr>a.10</vt:lpstr>
      <vt:lpstr>a.11</vt:lpstr>
      <vt:lpstr>a.12</vt:lpstr>
      <vt:lpstr>a.13</vt:lpstr>
      <vt:lpstr>a.14</vt:lpstr>
      <vt:lpstr>a.15</vt:lpstr>
      <vt:lpstr>a.2</vt:lpstr>
      <vt:lpstr>a.3</vt:lpstr>
      <vt:lpstr>a.4</vt:lpstr>
      <vt:lpstr>a.5</vt:lpstr>
      <vt:lpstr>a.6</vt:lpstr>
      <vt:lpstr>a.7</vt:lpstr>
      <vt:lpstr>a.8</vt:lpstr>
      <vt:lpstr>a.9</vt:lpstr>
      <vt:lpstr>a0</vt:lpstr>
      <vt:lpstr>a1_</vt:lpstr>
      <vt:lpstr>a10_</vt:lpstr>
      <vt:lpstr>a11_</vt:lpstr>
      <vt:lpstr>a12_</vt:lpstr>
      <vt:lpstr>a13_</vt:lpstr>
      <vt:lpstr>a14_</vt:lpstr>
      <vt:lpstr>a15_</vt:lpstr>
      <vt:lpstr>a2_</vt:lpstr>
      <vt:lpstr>a3_</vt:lpstr>
      <vt:lpstr>a4_</vt:lpstr>
      <vt:lpstr>a5_</vt:lpstr>
      <vt:lpstr>a6_</vt:lpstr>
      <vt:lpstr>a7_</vt:lpstr>
      <vt:lpstr>a8_</vt:lpstr>
      <vt:lpstr>a9_</vt:lpstr>
      <vt:lpstr>API</vt:lpstr>
      <vt:lpstr>area</vt:lpstr>
      <vt:lpstr>bht</vt:lpstr>
      <vt:lpstr>co2.frac</vt:lpstr>
      <vt:lpstr>depth</vt:lpstr>
      <vt:lpstr>diam.ft</vt:lpstr>
      <vt:lpstr>diam.in</vt:lpstr>
      <vt:lpstr>ed</vt:lpstr>
      <vt:lpstr>gas.rt</vt:lpstr>
      <vt:lpstr>gas.sg</vt:lpstr>
      <vt:lpstr>GLR</vt:lpstr>
      <vt:lpstr>h2s.frac</vt:lpstr>
      <vt:lpstr>if.tens</vt:lpstr>
      <vt:lpstr>liq.rt</vt:lpstr>
      <vt:lpstr>liq.sg</vt:lpstr>
      <vt:lpstr>liq.visc</vt:lpstr>
      <vt:lpstr>mass.rt</vt:lpstr>
      <vt:lpstr>n2.frac</vt:lpstr>
      <vt:lpstr>oil.rt</vt:lpstr>
      <vt:lpstr>oil.sg</vt:lpstr>
      <vt:lpstr>oil.visc</vt:lpstr>
      <vt:lpstr>pi</vt:lpstr>
      <vt:lpstr>pres.atm</vt:lpstr>
      <vt:lpstr>pres.pc</vt:lpstr>
      <vt:lpstr>pres.pc.0</vt:lpstr>
      <vt:lpstr>segments</vt:lpstr>
      <vt:lpstr>temp.pc</vt:lpstr>
      <vt:lpstr>temp.pc.0</vt:lpstr>
      <vt:lpstr>thp</vt:lpstr>
      <vt:lpstr>tht</vt:lpstr>
      <vt:lpstr>vs</vt:lpstr>
      <vt:lpstr>vsl</vt:lpstr>
      <vt:lpstr>wat.rt</vt:lpstr>
      <vt:lpstr>wat.sg</vt:lpstr>
      <vt:lpstr>wcut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Alfonso Reyes</dc:creator>
  <cp:lastModifiedBy>Alfonso Reyes</cp:lastModifiedBy>
  <dcterms:created xsi:type="dcterms:W3CDTF">2017-03-22T14:26:05Z</dcterms:created>
  <dcterms:modified xsi:type="dcterms:W3CDTF">2017-03-24T18:32:00Z</dcterms:modified>
</cp:coreProperties>
</file>